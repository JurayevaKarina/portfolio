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Users\karina\Desktop\матстат\"/>
    </mc:Choice>
  </mc:AlternateContent>
  <bookViews>
    <workbookView xWindow="0" yWindow="0" windowWidth="13548" windowHeight="9084" activeTab="7"/>
  </bookViews>
  <sheets>
    <sheet name="Лист1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" i="8" l="1"/>
  <c r="N2" i="8"/>
  <c r="M8" i="8"/>
  <c r="M3" i="8"/>
  <c r="M4" i="8"/>
  <c r="M5" i="8"/>
  <c r="M6" i="8"/>
  <c r="M7" i="8"/>
  <c r="M2" i="8"/>
  <c r="J8" i="8"/>
  <c r="J7" i="8"/>
  <c r="E2" i="4" l="1"/>
  <c r="C2" i="4"/>
  <c r="G8" i="2"/>
  <c r="G2" i="2" a="1"/>
  <c r="G3" i="2" s="1"/>
  <c r="D2" i="2"/>
  <c r="E2" i="8"/>
  <c r="Q2" i="8"/>
  <c r="R2" i="8"/>
  <c r="Q3" i="8"/>
  <c r="R3" i="8"/>
  <c r="Q4" i="8"/>
  <c r="R4" i="8"/>
  <c r="Q5" i="8"/>
  <c r="R5" i="8"/>
  <c r="Q6" i="8"/>
  <c r="R6" i="8"/>
  <c r="Q7" i="8"/>
  <c r="R7" i="8"/>
  <c r="Q8" i="8"/>
  <c r="R8" i="8"/>
  <c r="G2" i="2" l="1"/>
  <c r="G7" i="2"/>
  <c r="G5" i="2"/>
  <c r="G4" i="2"/>
  <c r="G6" i="2"/>
  <c r="S3" i="8" l="1"/>
  <c r="S4" i="8"/>
  <c r="S5" i="8"/>
  <c r="S6" i="8"/>
  <c r="S7" i="8"/>
  <c r="S8" i="8"/>
  <c r="S2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S37" i="8" s="1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Q9" i="8"/>
  <c r="Q10" i="8"/>
  <c r="Q11" i="8"/>
  <c r="Q12" i="8"/>
  <c r="Q13" i="8"/>
  <c r="Q14" i="8"/>
  <c r="S14" i="8" s="1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S30" i="8" s="1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S46" i="8" s="1"/>
  <c r="Q47" i="8"/>
  <c r="Q48" i="8"/>
  <c r="Q49" i="8"/>
  <c r="Q50" i="8"/>
  <c r="Q51" i="8"/>
  <c r="S51" i="8" l="1"/>
  <c r="S21" i="8"/>
  <c r="S34" i="8"/>
  <c r="S17" i="8"/>
  <c r="S50" i="8"/>
  <c r="S32" i="8"/>
  <c r="S33" i="8"/>
  <c r="S36" i="8"/>
  <c r="S49" i="8"/>
  <c r="S48" i="8"/>
  <c r="S35" i="8"/>
  <c r="S19" i="8"/>
  <c r="S10" i="8"/>
  <c r="S18" i="8"/>
  <c r="S26" i="8"/>
  <c r="S16" i="8"/>
  <c r="S15" i="8"/>
  <c r="S20" i="8"/>
  <c r="S44" i="8"/>
  <c r="S28" i="8"/>
  <c r="S42" i="8"/>
  <c r="S43" i="8"/>
  <c r="S27" i="8"/>
  <c r="S11" i="8"/>
  <c r="S47" i="8"/>
  <c r="S31" i="8"/>
  <c r="S45" i="8"/>
  <c r="S29" i="8"/>
  <c r="S13" i="8"/>
  <c r="S12" i="8"/>
  <c r="S41" i="8"/>
  <c r="S25" i="8"/>
  <c r="S9" i="8"/>
  <c r="S40" i="8"/>
  <c r="S24" i="8"/>
  <c r="S39" i="8"/>
  <c r="S23" i="8"/>
  <c r="S38" i="8"/>
  <c r="S22" i="8"/>
  <c r="F3" i="8"/>
  <c r="F2" i="8"/>
  <c r="G2" i="8" s="1"/>
  <c r="F3" i="7"/>
  <c r="F2" i="7"/>
  <c r="E2" i="7"/>
  <c r="D3" i="7"/>
  <c r="D2" i="7"/>
  <c r="I2" i="6"/>
  <c r="H4" i="6"/>
  <c r="H3" i="6"/>
  <c r="H2" i="6"/>
  <c r="G2" i="6"/>
  <c r="F2" i="6"/>
  <c r="D3" i="6"/>
  <c r="D2" i="6"/>
  <c r="E3" i="5"/>
  <c r="E2" i="5"/>
  <c r="D2" i="5"/>
  <c r="C2" i="5"/>
  <c r="G3" i="4"/>
  <c r="G4" i="4" s="1"/>
  <c r="G2" i="4"/>
  <c r="F2" i="4"/>
  <c r="D2" i="4"/>
  <c r="T2" i="8" l="1"/>
  <c r="F5" i="8"/>
  <c r="G3" i="8" s="1"/>
  <c r="E3" i="3"/>
  <c r="E2" i="3"/>
  <c r="D4" i="3"/>
  <c r="D2" i="3"/>
  <c r="C2" i="3"/>
  <c r="C2" i="2"/>
  <c r="B2" i="2"/>
  <c r="F2" i="2" s="1"/>
  <c r="C3" i="2"/>
  <c r="G4" i="8" l="1"/>
  <c r="G5" i="8" s="1"/>
  <c r="G6" i="8" s="1"/>
  <c r="H2" i="8"/>
  <c r="J2" i="8"/>
  <c r="E4" i="3"/>
  <c r="E2" i="2"/>
  <c r="F3" i="2" s="1"/>
  <c r="G7" i="8" l="1"/>
  <c r="H6" i="8"/>
  <c r="K2" i="8"/>
  <c r="J3" i="8"/>
  <c r="H3" i="8"/>
  <c r="F4" i="2"/>
  <c r="F5" i="2" s="1"/>
  <c r="F6" i="2" s="1"/>
  <c r="F7" i="2" s="1"/>
  <c r="F8" i="2" s="1"/>
  <c r="G8" i="8" l="1"/>
  <c r="H7" i="8"/>
  <c r="I2" i="8" a="1"/>
  <c r="J4" i="8"/>
  <c r="K3" i="8"/>
  <c r="H4" i="8"/>
  <c r="H5" i="8"/>
  <c r="I7" i="8" l="1"/>
  <c r="I5" i="8"/>
  <c r="I3" i="8"/>
  <c r="I4" i="8"/>
  <c r="I2" i="8"/>
  <c r="I6" i="8"/>
  <c r="J5" i="8"/>
  <c r="K4" i="8"/>
  <c r="J6" i="8" l="1"/>
  <c r="K5" i="8"/>
  <c r="K6" i="8" l="1"/>
  <c r="K7" i="8" l="1"/>
  <c r="I8" i="8"/>
</calcChain>
</file>

<file path=xl/sharedStrings.xml><?xml version="1.0" encoding="utf-8"?>
<sst xmlns="http://schemas.openxmlformats.org/spreadsheetml/2006/main" count="102" uniqueCount="69">
  <si>
    <t>X1</t>
  </si>
  <si>
    <t>X2</t>
  </si>
  <si>
    <t>дисперсия неизвестна</t>
  </si>
  <si>
    <t>дисперсия =25</t>
  </si>
  <si>
    <t>Минимум</t>
  </si>
  <si>
    <t>Максимум</t>
  </si>
  <si>
    <t>Интервал</t>
  </si>
  <si>
    <t>Ширина</t>
  </si>
  <si>
    <t>Частота</t>
  </si>
  <si>
    <t>Границы</t>
  </si>
  <si>
    <t>α=0,05</t>
  </si>
  <si>
    <t>Сред.знач</t>
  </si>
  <si>
    <t>Крит.знач</t>
  </si>
  <si>
    <t>Ошибка сред</t>
  </si>
  <si>
    <t>Границы д.и</t>
  </si>
  <si>
    <t>a0=20</t>
  </si>
  <si>
    <t>σ0=9</t>
  </si>
  <si>
    <t>С вероятностью 95% истинное среднее генеральной совокупности лежит в интервале от 19,32 до 22,10</t>
  </si>
  <si>
    <t>Среднее</t>
  </si>
  <si>
    <t>s</t>
  </si>
  <si>
    <t>SE</t>
  </si>
  <si>
    <t>tкрит</t>
  </si>
  <si>
    <t>Гран дов интер</t>
  </si>
  <si>
    <t>s^2</t>
  </si>
  <si>
    <t>χ²</t>
  </si>
  <si>
    <t>Крит знач</t>
  </si>
  <si>
    <t>α=0,05 = 5%</t>
  </si>
  <si>
    <t>α/2 = 0,025 = 2,5%</t>
  </si>
  <si>
    <t>Ответ</t>
  </si>
  <si>
    <t>χ² &gt; χ²_α/2</t>
  </si>
  <si>
    <t>H0:σ^2=σ0^2</t>
  </si>
  <si>
    <t>H1: σ^2&lt;&gt;81</t>
  </si>
  <si>
    <t>Дисперсия</t>
  </si>
  <si>
    <t>s_p^2</t>
  </si>
  <si>
    <t>n = 50</t>
  </si>
  <si>
    <t>t-стат</t>
  </si>
  <si>
    <t>df = 50+50-2=98</t>
  </si>
  <si>
    <t>t-крит</t>
  </si>
  <si>
    <t>|t| = 0,04 &lt; 1,98 =&gt; нет оснований отвергать H0</t>
  </si>
  <si>
    <t>H₀: μ₁ = μ₂</t>
  </si>
  <si>
    <t>n1=n2=50</t>
  </si>
  <si>
    <t>α = 0.05</t>
  </si>
  <si>
    <t>H0: σ1^2 = σ2^2</t>
  </si>
  <si>
    <t>H1: σ1^2 &gt;&lt; σ2^2</t>
  </si>
  <si>
    <t>Дисперсия s^2</t>
  </si>
  <si>
    <t>F-стат</t>
  </si>
  <si>
    <t>F = 5,06 &gt; 1,76 =&gt; Отвергаем H₀</t>
  </si>
  <si>
    <t>k</t>
  </si>
  <si>
    <t>мин/макс</t>
  </si>
  <si>
    <t>ширина</t>
  </si>
  <si>
    <t>Частоты</t>
  </si>
  <si>
    <t>H0: Распределение нормальное</t>
  </si>
  <si>
    <t>H1: Распределение не нормальное</t>
  </si>
  <si>
    <t>χ² набл &gt; χ² крит Гипотеза Н0 отвергается</t>
  </si>
  <si>
    <t>Эмпир функ</t>
  </si>
  <si>
    <t>Теор функ</t>
  </si>
  <si>
    <t>Разность</t>
  </si>
  <si>
    <t>D_n</t>
  </si>
  <si>
    <t>D_крит</t>
  </si>
  <si>
    <t>D_n &gt; D_крит  =&gt; гипотеза H0 отвергается</t>
  </si>
  <si>
    <t>ТЕОРВЕР</t>
  </si>
  <si>
    <t>Теор частоты</t>
  </si>
  <si>
    <t>хи</t>
  </si>
  <si>
    <t>7.2) КРИТЕРИЙ КОЛМАГОРОВА</t>
  </si>
  <si>
    <t>Интервалы</t>
  </si>
  <si>
    <t>хи крит</t>
  </si>
  <si>
    <t>7.1)КРИТЕРИЙ ПИРСОНА</t>
  </si>
  <si>
    <t>С вероятностью 95% истинное математическое ожидание генеральной совокупности находится в интервале от 18,16  до 23,39</t>
  </si>
  <si>
    <t>Нет оснований отвергать H0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</si>
</sst>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0"/>
      <color theme="1"/>
      <name val="Segoe UI"/>
      <family val="2"/>
      <charset val="204"/>
    </font>
    <font>
      <sz val="10"/>
      <name val="Arial Cyr"/>
      <charset val="204"/>
    </font>
    <font>
      <sz val="10"/>
      <color rgb="FF404040"/>
      <name val="Segoe UI"/>
      <family val="2"/>
      <charset val="204"/>
    </font>
    <font>
      <sz val="8"/>
      <color rgb="FF404040"/>
      <name val="Courier New"/>
      <family val="3"/>
      <charset val="204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2" fillId="0" borderId="0" xfId="1"/>
    <xf numFmtId="0" fontId="0" fillId="2" borderId="0" xfId="0" applyFill="1"/>
    <xf numFmtId="0" fontId="0" fillId="0" borderId="0" xfId="0" applyFont="1"/>
    <xf numFmtId="0" fontId="3" fillId="0" borderId="0" xfId="0" applyFont="1"/>
    <xf numFmtId="0" fontId="1" fillId="0" borderId="0" xfId="0" applyFont="1"/>
    <xf numFmtId="0" fontId="2" fillId="0" borderId="0" xfId="1"/>
    <xf numFmtId="0" fontId="4" fillId="0" borderId="0" xfId="0" applyFont="1"/>
    <xf numFmtId="0" fontId="0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1"/>
    </xf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left" vertical="center" indent="1"/>
    </xf>
    <xf numFmtId="0" fontId="0" fillId="0" borderId="0" xfId="0" applyFont="1" applyAlignment="1">
      <alignment horizontal="left" vertical="center" indent="1"/>
    </xf>
    <xf numFmtId="0" fontId="7" fillId="2" borderId="0" xfId="0" applyFont="1" applyFill="1"/>
    <xf numFmtId="0" fontId="0" fillId="0" borderId="0" xfId="0" applyAlignment="1">
      <alignment horizont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'1'!$G$2:$G$8</c15:sqref>
                  </c15:fullRef>
                </c:ext>
              </c:extLst>
              <c:f>'1'!$G$2:$G$7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11</c:v>
                </c:pt>
                <c:pt idx="3">
                  <c:v>14</c:v>
                </c:pt>
                <c:pt idx="4">
                  <c:v>6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7F-4740-AFC7-0FBBBCB56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7709168"/>
        <c:axId val="467705560"/>
      </c:barChart>
      <c:catAx>
        <c:axId val="467709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7705560"/>
        <c:crosses val="autoZero"/>
        <c:auto val="1"/>
        <c:lblAlgn val="ctr"/>
        <c:lblOffset val="100"/>
        <c:noMultiLvlLbl val="0"/>
      </c:catAx>
      <c:valAx>
        <c:axId val="467705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7709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601980</xdr:colOff>
      <xdr:row>0</xdr:row>
      <xdr:rowOff>26670</xdr:rowOff>
    </xdr:from>
    <xdr:to>
      <xdr:col>15</xdr:col>
      <xdr:colOff>297180</xdr:colOff>
      <xdr:row>15</xdr:row>
      <xdr:rowOff>26670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C52"/>
  <sheetViews>
    <sheetView workbookViewId="0">
      <selection activeCell="G20" sqref="G20"/>
    </sheetView>
  </sheetViews>
  <sheetFormatPr defaultRowHeight="14.4" x14ac:dyDescent="0.3"/>
  <cols>
    <col min="1" max="1" width="13.88671875" customWidth="1"/>
    <col min="2" max="2" width="20.21875" customWidth="1"/>
    <col min="3" max="3" width="12" customWidth="1"/>
  </cols>
  <sheetData>
    <row r="1" spans="1:3" x14ac:dyDescent="0.3">
      <c r="A1" s="1" t="s">
        <v>0</v>
      </c>
      <c r="B1" s="1" t="s">
        <v>1</v>
      </c>
      <c r="C1" t="s">
        <v>15</v>
      </c>
    </row>
    <row r="2" spans="1:3" x14ac:dyDescent="0.3">
      <c r="A2" s="1" t="s">
        <v>3</v>
      </c>
      <c r="B2" s="1" t="s">
        <v>2</v>
      </c>
      <c r="C2" t="s">
        <v>16</v>
      </c>
    </row>
    <row r="3" spans="1:3" x14ac:dyDescent="0.3">
      <c r="A3" s="1">
        <v>18.651412619999999</v>
      </c>
      <c r="B3" s="1">
        <v>7.1794943829999998</v>
      </c>
    </row>
    <row r="4" spans="1:3" x14ac:dyDescent="0.3">
      <c r="A4" s="1">
        <v>16.318115339999999</v>
      </c>
      <c r="B4" s="1">
        <v>20.23858547</v>
      </c>
    </row>
    <row r="5" spans="1:3" x14ac:dyDescent="0.3">
      <c r="A5" s="1">
        <v>18.289399629999998</v>
      </c>
      <c r="B5" s="1">
        <v>23.26074655</v>
      </c>
    </row>
    <row r="6" spans="1:3" x14ac:dyDescent="0.3">
      <c r="A6" s="1">
        <v>14.7038873</v>
      </c>
      <c r="B6" s="1">
        <v>23.670070330000001</v>
      </c>
    </row>
    <row r="7" spans="1:3" x14ac:dyDescent="0.3">
      <c r="A7" s="1">
        <v>18.486833870000002</v>
      </c>
      <c r="B7" s="1">
        <v>26.698032850000001</v>
      </c>
    </row>
    <row r="8" spans="1:3" x14ac:dyDescent="0.3">
      <c r="A8" s="1">
        <v>12.84250407</v>
      </c>
      <c r="B8" s="1">
        <v>14.30742719</v>
      </c>
    </row>
    <row r="9" spans="1:3" x14ac:dyDescent="0.3">
      <c r="A9" s="1">
        <v>26.924528859999999</v>
      </c>
      <c r="B9" s="1">
        <v>28.266652000000001</v>
      </c>
    </row>
    <row r="10" spans="1:3" x14ac:dyDescent="0.3">
      <c r="A10" s="1">
        <v>22.652376449999998</v>
      </c>
      <c r="B10" s="1">
        <v>36.145763770000002</v>
      </c>
    </row>
    <row r="11" spans="1:3" x14ac:dyDescent="0.3">
      <c r="A11" s="1">
        <v>22.1663709</v>
      </c>
      <c r="B11" s="1">
        <v>29.35155185</v>
      </c>
    </row>
    <row r="12" spans="1:3" x14ac:dyDescent="0.3">
      <c r="A12" s="1">
        <v>20.97402335</v>
      </c>
      <c r="B12" s="1">
        <v>19.227600259999999</v>
      </c>
    </row>
    <row r="13" spans="1:3" x14ac:dyDescent="0.3">
      <c r="A13" s="1">
        <v>21.565706500000001</v>
      </c>
      <c r="B13" s="1">
        <v>22.868939650000002</v>
      </c>
    </row>
    <row r="14" spans="1:3" x14ac:dyDescent="0.3">
      <c r="A14" s="1">
        <v>13.09241048</v>
      </c>
      <c r="B14" s="1">
        <v>9.9545059630000008</v>
      </c>
    </row>
    <row r="15" spans="1:3" x14ac:dyDescent="0.3">
      <c r="A15" s="1">
        <v>21.84915621</v>
      </c>
      <c r="B15" s="1">
        <v>10.954870550000001</v>
      </c>
    </row>
    <row r="16" spans="1:3" x14ac:dyDescent="0.3">
      <c r="A16" s="1">
        <v>19.07504389</v>
      </c>
      <c r="B16" s="1">
        <v>18.578238089999999</v>
      </c>
    </row>
    <row r="17" spans="1:2" x14ac:dyDescent="0.3">
      <c r="A17" s="1">
        <v>17.50656343</v>
      </c>
      <c r="B17">
        <v>4.6699165569999996</v>
      </c>
    </row>
    <row r="18" spans="1:2" x14ac:dyDescent="0.3">
      <c r="A18" s="1">
        <v>21.341049940000001</v>
      </c>
      <c r="B18">
        <v>29.12074256</v>
      </c>
    </row>
    <row r="19" spans="1:2" x14ac:dyDescent="0.3">
      <c r="A19" s="1">
        <v>19.835688409999999</v>
      </c>
      <c r="B19">
        <v>12.364998890000001</v>
      </c>
    </row>
    <row r="20" spans="1:2" x14ac:dyDescent="0.3">
      <c r="A20" s="1">
        <v>16.144833859999999</v>
      </c>
      <c r="B20">
        <v>20.408065260000001</v>
      </c>
    </row>
    <row r="21" spans="1:2" x14ac:dyDescent="0.3">
      <c r="A21" s="1">
        <v>17.61256504</v>
      </c>
      <c r="B21">
        <v>39.322251319999999</v>
      </c>
    </row>
    <row r="22" spans="1:2" x14ac:dyDescent="0.3">
      <c r="A22" s="1">
        <v>18.161081289999998</v>
      </c>
      <c r="B22">
        <v>8.7216335990000005</v>
      </c>
    </row>
    <row r="23" spans="1:2" x14ac:dyDescent="0.3">
      <c r="A23" s="1">
        <v>13.481378619999999</v>
      </c>
      <c r="B23">
        <v>15.17412334</v>
      </c>
    </row>
    <row r="24" spans="1:2" x14ac:dyDescent="0.3">
      <c r="A24" s="1">
        <v>16.824362820000001</v>
      </c>
      <c r="B24">
        <v>13.32646212</v>
      </c>
    </row>
    <row r="25" spans="1:2" x14ac:dyDescent="0.3">
      <c r="A25" s="1">
        <v>16.03054448</v>
      </c>
      <c r="B25">
        <v>32.049968059999998</v>
      </c>
    </row>
    <row r="26" spans="1:2" x14ac:dyDescent="0.3">
      <c r="A26" s="1">
        <v>22.458841660000001</v>
      </c>
      <c r="B26">
        <v>33.598491930000002</v>
      </c>
    </row>
    <row r="27" spans="1:2" x14ac:dyDescent="0.3">
      <c r="A27" s="1">
        <v>23.260799989999999</v>
      </c>
      <c r="B27">
        <v>23.201269010000001</v>
      </c>
    </row>
    <row r="28" spans="1:2" x14ac:dyDescent="0.3">
      <c r="A28" s="1">
        <v>16.716456959999999</v>
      </c>
      <c r="B28">
        <v>26.202219540000002</v>
      </c>
    </row>
    <row r="29" spans="1:2" x14ac:dyDescent="0.3">
      <c r="A29" s="1">
        <v>25.217668790000001</v>
      </c>
      <c r="B29">
        <v>20.52733753</v>
      </c>
    </row>
    <row r="30" spans="1:2" x14ac:dyDescent="0.3">
      <c r="A30" s="1">
        <v>22.274015290000001</v>
      </c>
      <c r="B30">
        <v>36.084168239999997</v>
      </c>
    </row>
    <row r="31" spans="1:2" x14ac:dyDescent="0.3">
      <c r="A31" s="1">
        <v>24.654168609999999</v>
      </c>
      <c r="B31">
        <v>22.905180739999999</v>
      </c>
    </row>
    <row r="32" spans="1:2" x14ac:dyDescent="0.3">
      <c r="A32" s="1">
        <v>21.992043509999998</v>
      </c>
      <c r="B32">
        <v>20.624611399999999</v>
      </c>
    </row>
    <row r="33" spans="1:2" x14ac:dyDescent="0.3">
      <c r="A33" s="1">
        <v>19.03221237</v>
      </c>
      <c r="B33">
        <v>9.9133331380000005</v>
      </c>
    </row>
    <row r="34" spans="1:2" x14ac:dyDescent="0.3">
      <c r="A34" s="1">
        <v>20.77515665</v>
      </c>
      <c r="B34">
        <v>35.202431310000001</v>
      </c>
    </row>
    <row r="35" spans="1:2" x14ac:dyDescent="0.3">
      <c r="A35" s="1">
        <v>21.758530740000001</v>
      </c>
      <c r="B35">
        <v>18.200428309999999</v>
      </c>
    </row>
    <row r="36" spans="1:2" x14ac:dyDescent="0.3">
      <c r="A36" s="1">
        <v>29.542100090000002</v>
      </c>
      <c r="B36">
        <v>12.47883807</v>
      </c>
    </row>
    <row r="37" spans="1:2" x14ac:dyDescent="0.3">
      <c r="A37" s="1">
        <v>22.323758959999999</v>
      </c>
      <c r="B37">
        <v>29.548698470000001</v>
      </c>
    </row>
    <row r="38" spans="1:2" x14ac:dyDescent="0.3">
      <c r="A38" s="1">
        <v>23.199534150000002</v>
      </c>
      <c r="B38">
        <v>27.377630029999999</v>
      </c>
    </row>
    <row r="39" spans="1:2" x14ac:dyDescent="0.3">
      <c r="A39" s="1">
        <v>20.998983299999999</v>
      </c>
      <c r="B39">
        <v>8.8990942050000008</v>
      </c>
    </row>
    <row r="40" spans="1:2" x14ac:dyDescent="0.3">
      <c r="A40" s="1">
        <v>24.316689230000001</v>
      </c>
      <c r="B40">
        <v>27.162004750000001</v>
      </c>
    </row>
    <row r="41" spans="1:2" x14ac:dyDescent="0.3">
      <c r="A41" s="1">
        <v>28.636629899999999</v>
      </c>
      <c r="B41">
        <v>16.529552389999999</v>
      </c>
    </row>
    <row r="42" spans="1:2" x14ac:dyDescent="0.3">
      <c r="A42" s="1">
        <v>17.05593154</v>
      </c>
      <c r="B42">
        <v>36.827325449999996</v>
      </c>
    </row>
    <row r="43" spans="1:2" x14ac:dyDescent="0.3">
      <c r="A43" s="1">
        <v>22.22281074</v>
      </c>
      <c r="B43">
        <v>17.32742936</v>
      </c>
    </row>
    <row r="44" spans="1:2" x14ac:dyDescent="0.3">
      <c r="A44" s="1">
        <v>26.015341110000001</v>
      </c>
      <c r="B44">
        <v>13.48853407</v>
      </c>
    </row>
    <row r="45" spans="1:2" x14ac:dyDescent="0.3">
      <c r="A45" s="1">
        <v>15.603923249999999</v>
      </c>
      <c r="B45">
        <v>11.4391833</v>
      </c>
    </row>
    <row r="46" spans="1:2" x14ac:dyDescent="0.3">
      <c r="A46" s="1">
        <v>20.61834271</v>
      </c>
      <c r="B46">
        <v>7.2568878349999997</v>
      </c>
    </row>
    <row r="47" spans="1:2" x14ac:dyDescent="0.3">
      <c r="A47" s="1">
        <v>24.731407440000002</v>
      </c>
      <c r="B47">
        <v>10.55341505</v>
      </c>
    </row>
    <row r="48" spans="1:2" x14ac:dyDescent="0.3">
      <c r="A48" s="1">
        <v>26.38841584</v>
      </c>
      <c r="B48">
        <v>13.92808263</v>
      </c>
    </row>
    <row r="49" spans="1:2" x14ac:dyDescent="0.3">
      <c r="A49" s="1">
        <v>20.281090710000001</v>
      </c>
      <c r="B49">
        <v>19.224837669999999</v>
      </c>
    </row>
    <row r="50" spans="1:2" x14ac:dyDescent="0.3">
      <c r="A50" s="1">
        <v>28.853771760000001</v>
      </c>
      <c r="B50">
        <v>17.543975499999998</v>
      </c>
    </row>
    <row r="51" spans="1:2" x14ac:dyDescent="0.3">
      <c r="A51" s="1">
        <v>23.509990169999998</v>
      </c>
      <c r="B51">
        <v>34.493898559999998</v>
      </c>
    </row>
    <row r="52" spans="1:2" x14ac:dyDescent="0.3">
      <c r="A52" s="1">
        <v>18.755845350000001</v>
      </c>
      <c r="B52">
        <v>22.598553689999999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G52"/>
  <sheetViews>
    <sheetView workbookViewId="0">
      <selection activeCell="H18" sqref="H18"/>
    </sheetView>
  </sheetViews>
  <sheetFormatPr defaultRowHeight="14.4" x14ac:dyDescent="0.3"/>
  <cols>
    <col min="1" max="1" width="13.88671875" customWidth="1"/>
  </cols>
  <sheetData>
    <row r="1" spans="1:7" x14ac:dyDescent="0.3">
      <c r="A1" s="6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9</v>
      </c>
      <c r="G1" s="2" t="s">
        <v>8</v>
      </c>
    </row>
    <row r="2" spans="1:7" x14ac:dyDescent="0.3">
      <c r="A2" s="6" t="s">
        <v>3</v>
      </c>
      <c r="B2" s="12">
        <f>MIN(A3:A52)</f>
        <v>12.84250407</v>
      </c>
      <c r="C2" s="12">
        <f>MAX(A3:A52)</f>
        <v>29.542100090000002</v>
      </c>
      <c r="D2">
        <f>ROUNDDOWN(1 + LOG(COUNT(A3:A52), 2), 0)</f>
        <v>6</v>
      </c>
      <c r="E2">
        <f>(C2-B2)/D2</f>
        <v>2.7832660033333334</v>
      </c>
      <c r="F2" s="12">
        <f>B2</f>
        <v>12.84250407</v>
      </c>
      <c r="G2">
        <f t="array" ref="G2:G7">FREQUENCY(A3:A52, F3:F8)</f>
        <v>5</v>
      </c>
    </row>
    <row r="3" spans="1:7" x14ac:dyDescent="0.3">
      <c r="A3" s="6">
        <v>18.651412619999999</v>
      </c>
      <c r="C3">
        <f>COUNT(A3:A52)</f>
        <v>50</v>
      </c>
      <c r="F3">
        <f>F2+$E$2</f>
        <v>15.625770073333333</v>
      </c>
      <c r="G3">
        <v>10</v>
      </c>
    </row>
    <row r="4" spans="1:7" x14ac:dyDescent="0.3">
      <c r="A4" s="6">
        <v>16.318115339999999</v>
      </c>
      <c r="F4">
        <f t="shared" ref="F4:F8" si="0">F3+$E$2</f>
        <v>18.409036076666666</v>
      </c>
      <c r="G4">
        <v>11</v>
      </c>
    </row>
    <row r="5" spans="1:7" x14ac:dyDescent="0.3">
      <c r="A5" s="6">
        <v>18.289399629999998</v>
      </c>
      <c r="F5">
        <f t="shared" si="0"/>
        <v>21.192302080000001</v>
      </c>
      <c r="G5">
        <v>14</v>
      </c>
    </row>
    <row r="6" spans="1:7" x14ac:dyDescent="0.3">
      <c r="A6" s="6">
        <v>14.7038873</v>
      </c>
      <c r="F6">
        <f t="shared" si="0"/>
        <v>23.975568083333336</v>
      </c>
      <c r="G6">
        <v>6</v>
      </c>
    </row>
    <row r="7" spans="1:7" x14ac:dyDescent="0.3">
      <c r="A7" s="6">
        <v>18.486833870000002</v>
      </c>
      <c r="F7">
        <f t="shared" si="0"/>
        <v>26.758834086666671</v>
      </c>
      <c r="G7">
        <v>4</v>
      </c>
    </row>
    <row r="8" spans="1:7" x14ac:dyDescent="0.3">
      <c r="A8" s="6">
        <v>12.84250407</v>
      </c>
      <c r="F8">
        <f t="shared" si="0"/>
        <v>29.542100090000005</v>
      </c>
      <c r="G8">
        <f>SUM(G2:G7)</f>
        <v>50</v>
      </c>
    </row>
    <row r="9" spans="1:7" x14ac:dyDescent="0.3">
      <c r="A9" s="6">
        <v>26.924528859999999</v>
      </c>
    </row>
    <row r="10" spans="1:7" x14ac:dyDescent="0.3">
      <c r="A10" s="6">
        <v>22.652376449999998</v>
      </c>
    </row>
    <row r="11" spans="1:7" x14ac:dyDescent="0.3">
      <c r="A11" s="6">
        <v>22.1663709</v>
      </c>
    </row>
    <row r="12" spans="1:7" x14ac:dyDescent="0.3">
      <c r="A12" s="6">
        <v>20.97402335</v>
      </c>
    </row>
    <row r="13" spans="1:7" x14ac:dyDescent="0.3">
      <c r="A13" s="6">
        <v>21.565706500000001</v>
      </c>
    </row>
    <row r="14" spans="1:7" x14ac:dyDescent="0.3">
      <c r="A14" s="6">
        <v>13.09241048</v>
      </c>
    </row>
    <row r="15" spans="1:7" x14ac:dyDescent="0.3">
      <c r="A15" s="6">
        <v>21.84915621</v>
      </c>
    </row>
    <row r="16" spans="1:7" x14ac:dyDescent="0.3">
      <c r="A16" s="6">
        <v>19.07504389</v>
      </c>
    </row>
    <row r="17" spans="1:1" x14ac:dyDescent="0.3">
      <c r="A17" s="6">
        <v>17.50656343</v>
      </c>
    </row>
    <row r="18" spans="1:1" x14ac:dyDescent="0.3">
      <c r="A18" s="6">
        <v>21.341049940000001</v>
      </c>
    </row>
    <row r="19" spans="1:1" x14ac:dyDescent="0.3">
      <c r="A19" s="6">
        <v>19.835688409999999</v>
      </c>
    </row>
    <row r="20" spans="1:1" x14ac:dyDescent="0.3">
      <c r="A20" s="6">
        <v>16.144833859999999</v>
      </c>
    </row>
    <row r="21" spans="1:1" x14ac:dyDescent="0.3">
      <c r="A21" s="6">
        <v>17.61256504</v>
      </c>
    </row>
    <row r="22" spans="1:1" x14ac:dyDescent="0.3">
      <c r="A22" s="6">
        <v>18.161081289999998</v>
      </c>
    </row>
    <row r="23" spans="1:1" x14ac:dyDescent="0.3">
      <c r="A23" s="6">
        <v>13.481378619999999</v>
      </c>
    </row>
    <row r="24" spans="1:1" x14ac:dyDescent="0.3">
      <c r="A24" s="6">
        <v>16.824362820000001</v>
      </c>
    </row>
    <row r="25" spans="1:1" x14ac:dyDescent="0.3">
      <c r="A25" s="6">
        <v>16.03054448</v>
      </c>
    </row>
    <row r="26" spans="1:1" x14ac:dyDescent="0.3">
      <c r="A26" s="6">
        <v>22.458841660000001</v>
      </c>
    </row>
    <row r="27" spans="1:1" x14ac:dyDescent="0.3">
      <c r="A27" s="6">
        <v>23.260799989999999</v>
      </c>
    </row>
    <row r="28" spans="1:1" x14ac:dyDescent="0.3">
      <c r="A28" s="6">
        <v>16.716456959999999</v>
      </c>
    </row>
    <row r="29" spans="1:1" x14ac:dyDescent="0.3">
      <c r="A29" s="6">
        <v>25.217668790000001</v>
      </c>
    </row>
    <row r="30" spans="1:1" x14ac:dyDescent="0.3">
      <c r="A30" s="6">
        <v>22.274015290000001</v>
      </c>
    </row>
    <row r="31" spans="1:1" x14ac:dyDescent="0.3">
      <c r="A31" s="6">
        <v>24.654168609999999</v>
      </c>
    </row>
    <row r="32" spans="1:1" x14ac:dyDescent="0.3">
      <c r="A32" s="6">
        <v>21.992043509999998</v>
      </c>
    </row>
    <row r="33" spans="1:1" x14ac:dyDescent="0.3">
      <c r="A33" s="6">
        <v>19.03221237</v>
      </c>
    </row>
    <row r="34" spans="1:1" x14ac:dyDescent="0.3">
      <c r="A34" s="6">
        <v>20.77515665</v>
      </c>
    </row>
    <row r="35" spans="1:1" x14ac:dyDescent="0.3">
      <c r="A35" s="6">
        <v>21.758530740000001</v>
      </c>
    </row>
    <row r="36" spans="1:1" x14ac:dyDescent="0.3">
      <c r="A36" s="6">
        <v>29.542100090000002</v>
      </c>
    </row>
    <row r="37" spans="1:1" x14ac:dyDescent="0.3">
      <c r="A37" s="6">
        <v>22.323758959999999</v>
      </c>
    </row>
    <row r="38" spans="1:1" x14ac:dyDescent="0.3">
      <c r="A38" s="6">
        <v>23.199534150000002</v>
      </c>
    </row>
    <row r="39" spans="1:1" x14ac:dyDescent="0.3">
      <c r="A39" s="6">
        <v>20.998983299999999</v>
      </c>
    </row>
    <row r="40" spans="1:1" x14ac:dyDescent="0.3">
      <c r="A40" s="6">
        <v>24.316689230000001</v>
      </c>
    </row>
    <row r="41" spans="1:1" x14ac:dyDescent="0.3">
      <c r="A41" s="6">
        <v>28.636629899999999</v>
      </c>
    </row>
    <row r="42" spans="1:1" x14ac:dyDescent="0.3">
      <c r="A42" s="6">
        <v>17.05593154</v>
      </c>
    </row>
    <row r="43" spans="1:1" x14ac:dyDescent="0.3">
      <c r="A43" s="6">
        <v>22.22281074</v>
      </c>
    </row>
    <row r="44" spans="1:1" x14ac:dyDescent="0.3">
      <c r="A44" s="6">
        <v>26.015341110000001</v>
      </c>
    </row>
    <row r="45" spans="1:1" x14ac:dyDescent="0.3">
      <c r="A45" s="6">
        <v>15.603923249999999</v>
      </c>
    </row>
    <row r="46" spans="1:1" x14ac:dyDescent="0.3">
      <c r="A46" s="6">
        <v>20.61834271</v>
      </c>
    </row>
    <row r="47" spans="1:1" x14ac:dyDescent="0.3">
      <c r="A47" s="6">
        <v>24.731407440000002</v>
      </c>
    </row>
    <row r="48" spans="1:1" x14ac:dyDescent="0.3">
      <c r="A48" s="6">
        <v>26.38841584</v>
      </c>
    </row>
    <row r="49" spans="1:1" x14ac:dyDescent="0.3">
      <c r="A49" s="6">
        <v>20.281090710000001</v>
      </c>
    </row>
    <row r="50" spans="1:1" x14ac:dyDescent="0.3">
      <c r="A50" s="6">
        <v>28.853771760000001</v>
      </c>
    </row>
    <row r="51" spans="1:1" x14ac:dyDescent="0.3">
      <c r="A51" s="6">
        <v>23.509990169999998</v>
      </c>
    </row>
    <row r="52" spans="1:1" x14ac:dyDescent="0.3">
      <c r="A52" s="6">
        <v>18.755845350000001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workbookViewId="0">
      <selection activeCell="E4" sqref="E4"/>
    </sheetView>
  </sheetViews>
  <sheetFormatPr defaultRowHeight="14.4" x14ac:dyDescent="0.3"/>
  <cols>
    <col min="1" max="1" width="13.88671875" customWidth="1"/>
    <col min="2" max="2" width="9.5546875" customWidth="1"/>
    <col min="4" max="4" width="12.109375" customWidth="1"/>
    <col min="5" max="5" width="11.5546875" customWidth="1"/>
    <col min="7" max="7" width="23.33203125" customWidth="1"/>
  </cols>
  <sheetData>
    <row r="1" spans="1:6" x14ac:dyDescent="0.3">
      <c r="A1" s="6" t="s">
        <v>0</v>
      </c>
      <c r="B1" s="3" t="s">
        <v>10</v>
      </c>
      <c r="C1" t="s">
        <v>11</v>
      </c>
      <c r="D1" t="s">
        <v>12</v>
      </c>
      <c r="E1" t="s">
        <v>14</v>
      </c>
    </row>
    <row r="2" spans="1:6" x14ac:dyDescent="0.3">
      <c r="A2" s="6" t="s">
        <v>3</v>
      </c>
      <c r="B2" t="s">
        <v>16</v>
      </c>
      <c r="C2">
        <f>AVERAGE(A3:A52)</f>
        <v>20.714485963599994</v>
      </c>
      <c r="D2">
        <f>_xlfn.NORM.S.INV(1-0.05/2)</f>
        <v>1.9599639845400536</v>
      </c>
      <c r="E2">
        <f>AVERAGE(A3:A52) -  D2*D4</f>
        <v>19.328582139250315</v>
      </c>
    </row>
    <row r="3" spans="1:6" x14ac:dyDescent="0.3">
      <c r="A3" s="6">
        <v>18.651412619999999</v>
      </c>
      <c r="D3" t="s">
        <v>13</v>
      </c>
      <c r="E3">
        <f>AVERAGE(A3:A52) +  D2*D4</f>
        <v>22.100389787949673</v>
      </c>
      <c r="F3" s="12"/>
    </row>
    <row r="4" spans="1:6" x14ac:dyDescent="0.3">
      <c r="A4" s="6">
        <v>16.318115339999999</v>
      </c>
      <c r="D4">
        <f>5 / SQRT(50)</f>
        <v>0.70710678118654746</v>
      </c>
      <c r="E4">
        <f>(E3-E2)/2</f>
        <v>1.3859038243496791</v>
      </c>
    </row>
    <row r="5" spans="1:6" x14ac:dyDescent="0.3">
      <c r="A5" s="6">
        <v>18.289399629999998</v>
      </c>
    </row>
    <row r="6" spans="1:6" ht="15" x14ac:dyDescent="0.35">
      <c r="A6" s="6">
        <v>14.7038873</v>
      </c>
      <c r="E6" s="5" t="s">
        <v>17</v>
      </c>
    </row>
    <row r="7" spans="1:6" x14ac:dyDescent="0.3">
      <c r="A7" s="6">
        <v>18.486833870000002</v>
      </c>
    </row>
    <row r="8" spans="1:6" x14ac:dyDescent="0.3">
      <c r="A8" s="6">
        <v>12.84250407</v>
      </c>
    </row>
    <row r="9" spans="1:6" x14ac:dyDescent="0.3">
      <c r="A9" s="6">
        <v>26.924528859999999</v>
      </c>
    </row>
    <row r="10" spans="1:6" x14ac:dyDescent="0.3">
      <c r="A10" s="6">
        <v>22.652376449999998</v>
      </c>
    </row>
    <row r="11" spans="1:6" x14ac:dyDescent="0.3">
      <c r="A11" s="6">
        <v>22.1663709</v>
      </c>
    </row>
    <row r="12" spans="1:6" x14ac:dyDescent="0.3">
      <c r="A12" s="6">
        <v>20.97402335</v>
      </c>
    </row>
    <row r="13" spans="1:6" x14ac:dyDescent="0.3">
      <c r="A13" s="6">
        <v>21.565706500000001</v>
      </c>
    </row>
    <row r="14" spans="1:6" x14ac:dyDescent="0.3">
      <c r="A14" s="6">
        <v>13.09241048</v>
      </c>
    </row>
    <row r="15" spans="1:6" x14ac:dyDescent="0.3">
      <c r="A15" s="6">
        <v>21.84915621</v>
      </c>
    </row>
    <row r="16" spans="1:6" x14ac:dyDescent="0.3">
      <c r="A16" s="6">
        <v>19.07504389</v>
      </c>
    </row>
    <row r="17" spans="1:1" x14ac:dyDescent="0.3">
      <c r="A17" s="6">
        <v>17.50656343</v>
      </c>
    </row>
    <row r="18" spans="1:1" x14ac:dyDescent="0.3">
      <c r="A18" s="6">
        <v>21.341049940000001</v>
      </c>
    </row>
    <row r="19" spans="1:1" x14ac:dyDescent="0.3">
      <c r="A19" s="6">
        <v>19.835688409999999</v>
      </c>
    </row>
    <row r="20" spans="1:1" x14ac:dyDescent="0.3">
      <c r="A20" s="6">
        <v>16.144833859999999</v>
      </c>
    </row>
    <row r="21" spans="1:1" x14ac:dyDescent="0.3">
      <c r="A21" s="6">
        <v>17.61256504</v>
      </c>
    </row>
    <row r="22" spans="1:1" x14ac:dyDescent="0.3">
      <c r="A22" s="6">
        <v>18.161081289999998</v>
      </c>
    </row>
    <row r="23" spans="1:1" x14ac:dyDescent="0.3">
      <c r="A23" s="6">
        <v>13.481378619999999</v>
      </c>
    </row>
    <row r="24" spans="1:1" x14ac:dyDescent="0.3">
      <c r="A24" s="6">
        <v>16.824362820000001</v>
      </c>
    </row>
    <row r="25" spans="1:1" x14ac:dyDescent="0.3">
      <c r="A25" s="6">
        <v>16.03054448</v>
      </c>
    </row>
    <row r="26" spans="1:1" x14ac:dyDescent="0.3">
      <c r="A26" s="6">
        <v>22.458841660000001</v>
      </c>
    </row>
    <row r="27" spans="1:1" x14ac:dyDescent="0.3">
      <c r="A27" s="6">
        <v>23.260799989999999</v>
      </c>
    </row>
    <row r="28" spans="1:1" x14ac:dyDescent="0.3">
      <c r="A28" s="6">
        <v>16.716456959999999</v>
      </c>
    </row>
    <row r="29" spans="1:1" x14ac:dyDescent="0.3">
      <c r="A29" s="6">
        <v>25.217668790000001</v>
      </c>
    </row>
    <row r="30" spans="1:1" x14ac:dyDescent="0.3">
      <c r="A30" s="6">
        <v>22.274015290000001</v>
      </c>
    </row>
    <row r="31" spans="1:1" x14ac:dyDescent="0.3">
      <c r="A31" s="6">
        <v>24.654168609999999</v>
      </c>
    </row>
    <row r="32" spans="1:1" x14ac:dyDescent="0.3">
      <c r="A32" s="6">
        <v>21.992043509999998</v>
      </c>
    </row>
    <row r="33" spans="1:1" x14ac:dyDescent="0.3">
      <c r="A33" s="6">
        <v>19.03221237</v>
      </c>
    </row>
    <row r="34" spans="1:1" x14ac:dyDescent="0.3">
      <c r="A34" s="6">
        <v>20.77515665</v>
      </c>
    </row>
    <row r="35" spans="1:1" x14ac:dyDescent="0.3">
      <c r="A35" s="6">
        <v>21.758530740000001</v>
      </c>
    </row>
    <row r="36" spans="1:1" x14ac:dyDescent="0.3">
      <c r="A36" s="6">
        <v>29.542100090000002</v>
      </c>
    </row>
    <row r="37" spans="1:1" x14ac:dyDescent="0.3">
      <c r="A37" s="6">
        <v>22.323758959999999</v>
      </c>
    </row>
    <row r="38" spans="1:1" x14ac:dyDescent="0.3">
      <c r="A38" s="6">
        <v>23.199534150000002</v>
      </c>
    </row>
    <row r="39" spans="1:1" x14ac:dyDescent="0.3">
      <c r="A39" s="6">
        <v>20.998983299999999</v>
      </c>
    </row>
    <row r="40" spans="1:1" x14ac:dyDescent="0.3">
      <c r="A40" s="6">
        <v>24.316689230000001</v>
      </c>
    </row>
    <row r="41" spans="1:1" x14ac:dyDescent="0.3">
      <c r="A41" s="6">
        <v>28.636629899999999</v>
      </c>
    </row>
    <row r="42" spans="1:1" x14ac:dyDescent="0.3">
      <c r="A42" s="6">
        <v>17.05593154</v>
      </c>
    </row>
    <row r="43" spans="1:1" x14ac:dyDescent="0.3">
      <c r="A43" s="6">
        <v>22.22281074</v>
      </c>
    </row>
    <row r="44" spans="1:1" x14ac:dyDescent="0.3">
      <c r="A44" s="6">
        <v>26.015341110000001</v>
      </c>
    </row>
    <row r="45" spans="1:1" x14ac:dyDescent="0.3">
      <c r="A45" s="6">
        <v>15.603923249999999</v>
      </c>
    </row>
    <row r="46" spans="1:1" x14ac:dyDescent="0.3">
      <c r="A46" s="6">
        <v>20.61834271</v>
      </c>
    </row>
    <row r="47" spans="1:1" x14ac:dyDescent="0.3">
      <c r="A47" s="6">
        <v>24.731407440000002</v>
      </c>
    </row>
    <row r="48" spans="1:1" x14ac:dyDescent="0.3">
      <c r="A48" s="6">
        <v>26.38841584</v>
      </c>
    </row>
    <row r="49" spans="1:1" x14ac:dyDescent="0.3">
      <c r="A49" s="6">
        <v>20.281090710000001</v>
      </c>
    </row>
    <row r="50" spans="1:1" x14ac:dyDescent="0.3">
      <c r="A50" s="6">
        <v>28.853771760000001</v>
      </c>
    </row>
    <row r="51" spans="1:1" x14ac:dyDescent="0.3">
      <c r="A51" s="6">
        <v>23.509990169999998</v>
      </c>
    </row>
    <row r="52" spans="1:1" x14ac:dyDescent="0.3">
      <c r="A52" s="6">
        <v>18.755845350000001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>
      <selection activeCell="I12" sqref="I12"/>
    </sheetView>
  </sheetViews>
  <sheetFormatPr defaultRowHeight="14.4" x14ac:dyDescent="0.3"/>
  <cols>
    <col min="1" max="1" width="20.21875" customWidth="1"/>
    <col min="7" max="7" width="14" customWidth="1"/>
  </cols>
  <sheetData>
    <row r="1" spans="1:8" x14ac:dyDescent="0.3">
      <c r="A1" s="6" t="s">
        <v>1</v>
      </c>
      <c r="B1" t="s">
        <v>15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8" x14ac:dyDescent="0.3">
      <c r="A2" s="6" t="s">
        <v>2</v>
      </c>
      <c r="B2" t="s">
        <v>16</v>
      </c>
      <c r="C2">
        <f>AVERAGE(A3:A52)</f>
        <v>20.779961055800001</v>
      </c>
      <c r="D2">
        <f>_xlfn.STDEV.S(A3:A52)</f>
        <v>9.1248516941798634</v>
      </c>
      <c r="E2">
        <f>_xlfn.STDEV.S(A3:A52) / SQRT(COUNT(A3:A52)-1)</f>
        <v>1.3035502420256948</v>
      </c>
      <c r="F2">
        <f>_xlfn.T.INV.2T(0.05, 49)</f>
        <v>2.0095752371292388</v>
      </c>
      <c r="G2">
        <f>C2-(F2*E2)</f>
        <v>18.16037876907134</v>
      </c>
    </row>
    <row r="3" spans="1:8" x14ac:dyDescent="0.3">
      <c r="A3" s="6">
        <v>7.1794943829999998</v>
      </c>
      <c r="E3" s="7"/>
      <c r="G3">
        <f>C2+(F2*E2)</f>
        <v>23.399543342528663</v>
      </c>
    </row>
    <row r="4" spans="1:8" x14ac:dyDescent="0.3">
      <c r="A4" s="6">
        <v>20.23858547</v>
      </c>
      <c r="G4">
        <f>(G3-G2)/2</f>
        <v>2.6195822867286616</v>
      </c>
    </row>
    <row r="5" spans="1:8" x14ac:dyDescent="0.3">
      <c r="A5" s="6">
        <v>23.26074655</v>
      </c>
    </row>
    <row r="6" spans="1:8" ht="15" x14ac:dyDescent="0.35">
      <c r="A6" s="6">
        <v>23.670070330000001</v>
      </c>
      <c r="G6" s="4"/>
      <c r="H6" t="s">
        <v>67</v>
      </c>
    </row>
    <row r="7" spans="1:8" x14ac:dyDescent="0.3">
      <c r="A7" s="6">
        <v>26.698032850000001</v>
      </c>
    </row>
    <row r="8" spans="1:8" x14ac:dyDescent="0.3">
      <c r="A8" s="6">
        <v>14.30742719</v>
      </c>
    </row>
    <row r="9" spans="1:8" x14ac:dyDescent="0.3">
      <c r="A9" s="6">
        <v>28.266652000000001</v>
      </c>
    </row>
    <row r="10" spans="1:8" x14ac:dyDescent="0.3">
      <c r="A10" s="6">
        <v>36.145763770000002</v>
      </c>
    </row>
    <row r="11" spans="1:8" x14ac:dyDescent="0.3">
      <c r="A11" s="6">
        <v>29.35155185</v>
      </c>
    </row>
    <row r="12" spans="1:8" x14ac:dyDescent="0.3">
      <c r="A12" s="6">
        <v>19.227600259999999</v>
      </c>
    </row>
    <row r="13" spans="1:8" x14ac:dyDescent="0.3">
      <c r="A13" s="6">
        <v>22.868939650000002</v>
      </c>
    </row>
    <row r="14" spans="1:8" x14ac:dyDescent="0.3">
      <c r="A14" s="6">
        <v>9.9545059630000008</v>
      </c>
    </row>
    <row r="15" spans="1:8" x14ac:dyDescent="0.3">
      <c r="A15" s="6">
        <v>10.954870550000001</v>
      </c>
    </row>
    <row r="16" spans="1:8" x14ac:dyDescent="0.3">
      <c r="A16" s="6">
        <v>18.578238089999999</v>
      </c>
    </row>
    <row r="17" spans="1:1" x14ac:dyDescent="0.3">
      <c r="A17">
        <v>4.6699165569999996</v>
      </c>
    </row>
    <row r="18" spans="1:1" x14ac:dyDescent="0.3">
      <c r="A18">
        <v>29.12074256</v>
      </c>
    </row>
    <row r="19" spans="1:1" x14ac:dyDescent="0.3">
      <c r="A19">
        <v>12.364998890000001</v>
      </c>
    </row>
    <row r="20" spans="1:1" x14ac:dyDescent="0.3">
      <c r="A20">
        <v>20.408065260000001</v>
      </c>
    </row>
    <row r="21" spans="1:1" x14ac:dyDescent="0.3">
      <c r="A21">
        <v>39.322251319999999</v>
      </c>
    </row>
    <row r="22" spans="1:1" x14ac:dyDescent="0.3">
      <c r="A22">
        <v>8.7216335990000005</v>
      </c>
    </row>
    <row r="23" spans="1:1" x14ac:dyDescent="0.3">
      <c r="A23">
        <v>15.17412334</v>
      </c>
    </row>
    <row r="24" spans="1:1" x14ac:dyDescent="0.3">
      <c r="A24">
        <v>13.32646212</v>
      </c>
    </row>
    <row r="25" spans="1:1" x14ac:dyDescent="0.3">
      <c r="A25">
        <v>32.049968059999998</v>
      </c>
    </row>
    <row r="26" spans="1:1" x14ac:dyDescent="0.3">
      <c r="A26">
        <v>33.598491930000002</v>
      </c>
    </row>
    <row r="27" spans="1:1" x14ac:dyDescent="0.3">
      <c r="A27">
        <v>23.201269010000001</v>
      </c>
    </row>
    <row r="28" spans="1:1" x14ac:dyDescent="0.3">
      <c r="A28">
        <v>26.202219540000002</v>
      </c>
    </row>
    <row r="29" spans="1:1" x14ac:dyDescent="0.3">
      <c r="A29">
        <v>20.52733753</v>
      </c>
    </row>
    <row r="30" spans="1:1" x14ac:dyDescent="0.3">
      <c r="A30">
        <v>36.084168239999997</v>
      </c>
    </row>
    <row r="31" spans="1:1" x14ac:dyDescent="0.3">
      <c r="A31">
        <v>22.905180739999999</v>
      </c>
    </row>
    <row r="32" spans="1:1" x14ac:dyDescent="0.3">
      <c r="A32">
        <v>20.624611399999999</v>
      </c>
    </row>
    <row r="33" spans="1:1" x14ac:dyDescent="0.3">
      <c r="A33">
        <v>9.9133331380000005</v>
      </c>
    </row>
    <row r="34" spans="1:1" x14ac:dyDescent="0.3">
      <c r="A34">
        <v>35.202431310000001</v>
      </c>
    </row>
    <row r="35" spans="1:1" x14ac:dyDescent="0.3">
      <c r="A35">
        <v>18.200428309999999</v>
      </c>
    </row>
    <row r="36" spans="1:1" x14ac:dyDescent="0.3">
      <c r="A36">
        <v>12.47883807</v>
      </c>
    </row>
    <row r="37" spans="1:1" x14ac:dyDescent="0.3">
      <c r="A37">
        <v>29.548698470000001</v>
      </c>
    </row>
    <row r="38" spans="1:1" x14ac:dyDescent="0.3">
      <c r="A38">
        <v>27.377630029999999</v>
      </c>
    </row>
    <row r="39" spans="1:1" x14ac:dyDescent="0.3">
      <c r="A39">
        <v>8.8990942050000008</v>
      </c>
    </row>
    <row r="40" spans="1:1" x14ac:dyDescent="0.3">
      <c r="A40">
        <v>27.162004750000001</v>
      </c>
    </row>
    <row r="41" spans="1:1" x14ac:dyDescent="0.3">
      <c r="A41">
        <v>16.529552389999999</v>
      </c>
    </row>
    <row r="42" spans="1:1" x14ac:dyDescent="0.3">
      <c r="A42">
        <v>36.827325449999996</v>
      </c>
    </row>
    <row r="43" spans="1:1" x14ac:dyDescent="0.3">
      <c r="A43">
        <v>17.32742936</v>
      </c>
    </row>
    <row r="44" spans="1:1" x14ac:dyDescent="0.3">
      <c r="A44">
        <v>13.48853407</v>
      </c>
    </row>
    <row r="45" spans="1:1" x14ac:dyDescent="0.3">
      <c r="A45">
        <v>11.4391833</v>
      </c>
    </row>
    <row r="46" spans="1:1" x14ac:dyDescent="0.3">
      <c r="A46">
        <v>7.2568878349999997</v>
      </c>
    </row>
    <row r="47" spans="1:1" x14ac:dyDescent="0.3">
      <c r="A47">
        <v>10.55341505</v>
      </c>
    </row>
    <row r="48" spans="1:1" x14ac:dyDescent="0.3">
      <c r="A48">
        <v>13.92808263</v>
      </c>
    </row>
    <row r="49" spans="1:1" x14ac:dyDescent="0.3">
      <c r="A49">
        <v>19.224837669999999</v>
      </c>
    </row>
    <row r="50" spans="1:1" x14ac:dyDescent="0.3">
      <c r="A50">
        <v>17.543975499999998</v>
      </c>
    </row>
    <row r="51" spans="1:1" x14ac:dyDescent="0.3">
      <c r="A51">
        <v>34.493898559999998</v>
      </c>
    </row>
    <row r="52" spans="1:1" x14ac:dyDescent="0.3">
      <c r="A52">
        <v>22.598553689999999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workbookViewId="0">
      <selection activeCell="I12" sqref="I12"/>
    </sheetView>
  </sheetViews>
  <sheetFormatPr defaultRowHeight="14.4" x14ac:dyDescent="0.3"/>
  <cols>
    <col min="1" max="1" width="20.21875" customWidth="1"/>
    <col min="2" max="2" width="15.6640625" customWidth="1"/>
    <col min="5" max="5" width="13.44140625" bestFit="1" customWidth="1"/>
    <col min="6" max="6" width="10.109375" customWidth="1"/>
  </cols>
  <sheetData>
    <row r="1" spans="1:6" ht="15" x14ac:dyDescent="0.35">
      <c r="A1" s="6" t="s">
        <v>1</v>
      </c>
      <c r="B1" t="s">
        <v>15</v>
      </c>
      <c r="C1" t="s">
        <v>23</v>
      </c>
      <c r="D1" s="5" t="s">
        <v>24</v>
      </c>
      <c r="E1" t="s">
        <v>25</v>
      </c>
      <c r="F1" t="s">
        <v>28</v>
      </c>
    </row>
    <row r="2" spans="1:6" x14ac:dyDescent="0.3">
      <c r="A2" s="6" t="s">
        <v>2</v>
      </c>
      <c r="B2" t="s">
        <v>16</v>
      </c>
      <c r="C2">
        <f>_xlfn.VAR.S(A3:A52)</f>
        <v>83.262918440777128</v>
      </c>
      <c r="D2">
        <f>(49*_xlfn.VAR.S(A3:A52))/81</f>
        <v>50.368925970346652</v>
      </c>
      <c r="E2" s="13">
        <f>_xlfn.CHISQ.INV(0.025, 49)</f>
        <v>31.554916462667123</v>
      </c>
      <c r="F2" t="s">
        <v>29</v>
      </c>
    </row>
    <row r="3" spans="1:6" x14ac:dyDescent="0.3">
      <c r="A3" s="6">
        <v>7.1794943829999998</v>
      </c>
      <c r="B3" s="3" t="s">
        <v>26</v>
      </c>
      <c r="E3">
        <f>_xlfn.CHISQ.INV(0.975, 49)</f>
        <v>70.22241356643454</v>
      </c>
    </row>
    <row r="4" spans="1:6" x14ac:dyDescent="0.3">
      <c r="A4" s="6">
        <v>20.23858547</v>
      </c>
      <c r="B4" s="3" t="s">
        <v>27</v>
      </c>
    </row>
    <row r="5" spans="1:6" ht="16.2" customHeight="1" x14ac:dyDescent="0.35">
      <c r="A5" s="6">
        <v>23.26074655</v>
      </c>
      <c r="B5" s="3"/>
      <c r="E5" s="5" t="s">
        <v>68</v>
      </c>
    </row>
    <row r="6" spans="1:6" ht="13.8" customHeight="1" x14ac:dyDescent="0.3">
      <c r="A6" s="6">
        <v>23.670070330000001</v>
      </c>
      <c r="B6" s="8" t="s">
        <v>30</v>
      </c>
    </row>
    <row r="7" spans="1:6" ht="16.2" customHeight="1" x14ac:dyDescent="0.3">
      <c r="A7" s="6">
        <v>26.698032850000001</v>
      </c>
      <c r="B7" t="s">
        <v>31</v>
      </c>
    </row>
    <row r="8" spans="1:6" x14ac:dyDescent="0.3">
      <c r="A8" s="6">
        <v>14.30742719</v>
      </c>
    </row>
    <row r="9" spans="1:6" x14ac:dyDescent="0.3">
      <c r="A9" s="6">
        <v>28.266652000000001</v>
      </c>
    </row>
    <row r="10" spans="1:6" x14ac:dyDescent="0.3">
      <c r="A10" s="6">
        <v>36.145763770000002</v>
      </c>
    </row>
    <row r="11" spans="1:6" x14ac:dyDescent="0.3">
      <c r="A11" s="6">
        <v>29.35155185</v>
      </c>
    </row>
    <row r="12" spans="1:6" x14ac:dyDescent="0.3">
      <c r="A12" s="6">
        <v>19.227600259999999</v>
      </c>
    </row>
    <row r="13" spans="1:6" x14ac:dyDescent="0.3">
      <c r="A13" s="6">
        <v>22.868939650000002</v>
      </c>
    </row>
    <row r="14" spans="1:6" x14ac:dyDescent="0.3">
      <c r="A14" s="6">
        <v>9.9545059630000008</v>
      </c>
    </row>
    <row r="15" spans="1:6" x14ac:dyDescent="0.3">
      <c r="A15" s="6">
        <v>10.954870550000001</v>
      </c>
    </row>
    <row r="16" spans="1:6" x14ac:dyDescent="0.3">
      <c r="A16" s="6">
        <v>18.578238089999999</v>
      </c>
    </row>
    <row r="17" spans="1:1" x14ac:dyDescent="0.3">
      <c r="A17">
        <v>4.6699165569999996</v>
      </c>
    </row>
    <row r="18" spans="1:1" x14ac:dyDescent="0.3">
      <c r="A18">
        <v>29.12074256</v>
      </c>
    </row>
    <row r="19" spans="1:1" x14ac:dyDescent="0.3">
      <c r="A19">
        <v>12.364998890000001</v>
      </c>
    </row>
    <row r="20" spans="1:1" x14ac:dyDescent="0.3">
      <c r="A20">
        <v>20.408065260000001</v>
      </c>
    </row>
    <row r="21" spans="1:1" x14ac:dyDescent="0.3">
      <c r="A21">
        <v>39.322251319999999</v>
      </c>
    </row>
    <row r="22" spans="1:1" x14ac:dyDescent="0.3">
      <c r="A22">
        <v>8.7216335990000005</v>
      </c>
    </row>
    <row r="23" spans="1:1" x14ac:dyDescent="0.3">
      <c r="A23">
        <v>15.17412334</v>
      </c>
    </row>
    <row r="24" spans="1:1" x14ac:dyDescent="0.3">
      <c r="A24">
        <v>13.32646212</v>
      </c>
    </row>
    <row r="25" spans="1:1" x14ac:dyDescent="0.3">
      <c r="A25">
        <v>32.049968059999998</v>
      </c>
    </row>
    <row r="26" spans="1:1" x14ac:dyDescent="0.3">
      <c r="A26">
        <v>33.598491930000002</v>
      </c>
    </row>
    <row r="27" spans="1:1" x14ac:dyDescent="0.3">
      <c r="A27">
        <v>23.201269010000001</v>
      </c>
    </row>
    <row r="28" spans="1:1" x14ac:dyDescent="0.3">
      <c r="A28">
        <v>26.202219540000002</v>
      </c>
    </row>
    <row r="29" spans="1:1" x14ac:dyDescent="0.3">
      <c r="A29">
        <v>20.52733753</v>
      </c>
    </row>
    <row r="30" spans="1:1" x14ac:dyDescent="0.3">
      <c r="A30">
        <v>36.084168239999997</v>
      </c>
    </row>
    <row r="31" spans="1:1" x14ac:dyDescent="0.3">
      <c r="A31">
        <v>22.905180739999999</v>
      </c>
    </row>
    <row r="32" spans="1:1" x14ac:dyDescent="0.3">
      <c r="A32">
        <v>20.624611399999999</v>
      </c>
    </row>
    <row r="33" spans="1:1" x14ac:dyDescent="0.3">
      <c r="A33">
        <v>9.9133331380000005</v>
      </c>
    </row>
    <row r="34" spans="1:1" x14ac:dyDescent="0.3">
      <c r="A34">
        <v>35.202431310000001</v>
      </c>
    </row>
    <row r="35" spans="1:1" x14ac:dyDescent="0.3">
      <c r="A35">
        <v>18.200428309999999</v>
      </c>
    </row>
    <row r="36" spans="1:1" x14ac:dyDescent="0.3">
      <c r="A36">
        <v>12.47883807</v>
      </c>
    </row>
    <row r="37" spans="1:1" x14ac:dyDescent="0.3">
      <c r="A37">
        <v>29.548698470000001</v>
      </c>
    </row>
    <row r="38" spans="1:1" x14ac:dyDescent="0.3">
      <c r="A38">
        <v>27.377630029999999</v>
      </c>
    </row>
    <row r="39" spans="1:1" x14ac:dyDescent="0.3">
      <c r="A39">
        <v>8.8990942050000008</v>
      </c>
    </row>
    <row r="40" spans="1:1" x14ac:dyDescent="0.3">
      <c r="A40">
        <v>27.162004750000001</v>
      </c>
    </row>
    <row r="41" spans="1:1" x14ac:dyDescent="0.3">
      <c r="A41">
        <v>16.529552389999999</v>
      </c>
    </row>
    <row r="42" spans="1:1" x14ac:dyDescent="0.3">
      <c r="A42">
        <v>36.827325449999996</v>
      </c>
    </row>
    <row r="43" spans="1:1" x14ac:dyDescent="0.3">
      <c r="A43">
        <v>17.32742936</v>
      </c>
    </row>
    <row r="44" spans="1:1" x14ac:dyDescent="0.3">
      <c r="A44">
        <v>13.48853407</v>
      </c>
    </row>
    <row r="45" spans="1:1" x14ac:dyDescent="0.3">
      <c r="A45">
        <v>11.4391833</v>
      </c>
    </row>
    <row r="46" spans="1:1" x14ac:dyDescent="0.3">
      <c r="A46">
        <v>7.2568878349999997</v>
      </c>
    </row>
    <row r="47" spans="1:1" x14ac:dyDescent="0.3">
      <c r="A47">
        <v>10.55341505</v>
      </c>
    </row>
    <row r="48" spans="1:1" x14ac:dyDescent="0.3">
      <c r="A48">
        <v>13.92808263</v>
      </c>
    </row>
    <row r="49" spans="1:1" x14ac:dyDescent="0.3">
      <c r="A49">
        <v>19.224837669999999</v>
      </c>
    </row>
    <row r="50" spans="1:1" x14ac:dyDescent="0.3">
      <c r="A50">
        <v>17.543975499999998</v>
      </c>
    </row>
    <row r="51" spans="1:1" x14ac:dyDescent="0.3">
      <c r="A51">
        <v>34.493898559999998</v>
      </c>
    </row>
    <row r="52" spans="1:1" x14ac:dyDescent="0.3">
      <c r="A52">
        <v>22.598553689999999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workbookViewId="0">
      <selection activeCell="I18" sqref="I18"/>
    </sheetView>
  </sheetViews>
  <sheetFormatPr defaultRowHeight="14.4" x14ac:dyDescent="0.3"/>
  <cols>
    <col min="1" max="1" width="13.88671875" customWidth="1"/>
    <col min="2" max="2" width="20.21875" customWidth="1"/>
    <col min="3" max="3" width="14.44140625" customWidth="1"/>
    <col min="4" max="4" width="11.21875" customWidth="1"/>
    <col min="5" max="5" width="12.33203125" bestFit="1" customWidth="1"/>
    <col min="8" max="8" width="13.44140625" bestFit="1" customWidth="1"/>
  </cols>
  <sheetData>
    <row r="1" spans="1:11" ht="15" x14ac:dyDescent="0.3">
      <c r="A1" s="6" t="s">
        <v>0</v>
      </c>
      <c r="B1" s="6" t="s">
        <v>1</v>
      </c>
      <c r="C1" t="s">
        <v>15</v>
      </c>
      <c r="D1" t="s">
        <v>32</v>
      </c>
      <c r="F1" t="s">
        <v>33</v>
      </c>
      <c r="G1" t="s">
        <v>20</v>
      </c>
      <c r="H1" t="s">
        <v>35</v>
      </c>
      <c r="I1" t="s">
        <v>37</v>
      </c>
      <c r="J1" s="9"/>
    </row>
    <row r="2" spans="1:11" ht="15" x14ac:dyDescent="0.3">
      <c r="A2" s="6" t="s">
        <v>3</v>
      </c>
      <c r="B2" s="6" t="s">
        <v>2</v>
      </c>
      <c r="C2" t="s">
        <v>16</v>
      </c>
      <c r="D2">
        <f>_xlfn.VAR.S(A3:A52)</f>
        <v>16.444771101113009</v>
      </c>
      <c r="E2" s="14"/>
      <c r="F2">
        <f>((49*D2)+(49*D3))/(50+50-2)</f>
        <v>49.853844770945067</v>
      </c>
      <c r="G2">
        <f>SQRT(F2 * (1/50 + 1/50))</f>
        <v>1.4121451026143887</v>
      </c>
      <c r="H2" s="13">
        <f>AVERAGE(A3:A52)</f>
        <v>20.714485963599994</v>
      </c>
      <c r="I2">
        <f>_xlfn.T.INV.2T(0.05, 98)</f>
        <v>1.9844674545084788</v>
      </c>
      <c r="K2" s="10"/>
    </row>
    <row r="3" spans="1:11" ht="15" x14ac:dyDescent="0.3">
      <c r="A3" s="6">
        <v>18.651412619999999</v>
      </c>
      <c r="B3" s="6">
        <v>7.1794943829999998</v>
      </c>
      <c r="C3" t="s">
        <v>34</v>
      </c>
      <c r="D3">
        <f>_xlfn.VAR.S(B3:B52)</f>
        <v>83.262918440777128</v>
      </c>
      <c r="H3" s="13">
        <f>AVERAGE(B3:B52)</f>
        <v>20.779961055800001</v>
      </c>
      <c r="J3" s="10"/>
    </row>
    <row r="4" spans="1:11" x14ac:dyDescent="0.3">
      <c r="A4" s="6">
        <v>16.318115339999999</v>
      </c>
      <c r="B4" s="6">
        <v>20.23858547</v>
      </c>
      <c r="C4" t="s">
        <v>36</v>
      </c>
      <c r="H4">
        <f>(H2-H3)/G2</f>
        <v>-4.6365697178561149E-2</v>
      </c>
    </row>
    <row r="5" spans="1:11" ht="15" x14ac:dyDescent="0.35">
      <c r="A5" s="6">
        <v>18.289399629999998</v>
      </c>
      <c r="B5" s="6">
        <v>23.26074655</v>
      </c>
      <c r="C5" t="s">
        <v>39</v>
      </c>
      <c r="E5" s="5"/>
    </row>
    <row r="6" spans="1:11" x14ac:dyDescent="0.3">
      <c r="A6" s="6">
        <v>14.7038873</v>
      </c>
      <c r="B6" s="6">
        <v>23.670070330000001</v>
      </c>
      <c r="H6" t="s">
        <v>38</v>
      </c>
    </row>
    <row r="7" spans="1:11" x14ac:dyDescent="0.3">
      <c r="A7" s="6">
        <v>18.486833870000002</v>
      </c>
      <c r="B7" s="6">
        <v>26.698032850000001</v>
      </c>
    </row>
    <row r="8" spans="1:11" x14ac:dyDescent="0.3">
      <c r="A8" s="6">
        <v>12.84250407</v>
      </c>
      <c r="B8" s="6">
        <v>14.30742719</v>
      </c>
    </row>
    <row r="9" spans="1:11" x14ac:dyDescent="0.3">
      <c r="A9" s="6">
        <v>26.924528859999999</v>
      </c>
      <c r="B9" s="6">
        <v>28.266652000000001</v>
      </c>
    </row>
    <row r="10" spans="1:11" x14ac:dyDescent="0.3">
      <c r="A10" s="6">
        <v>22.652376449999998</v>
      </c>
      <c r="B10" s="6">
        <v>36.145763770000002</v>
      </c>
    </row>
    <row r="11" spans="1:11" x14ac:dyDescent="0.3">
      <c r="A11" s="6">
        <v>22.1663709</v>
      </c>
      <c r="B11" s="6">
        <v>29.35155185</v>
      </c>
    </row>
    <row r="12" spans="1:11" x14ac:dyDescent="0.3">
      <c r="A12" s="6">
        <v>20.97402335</v>
      </c>
      <c r="B12" s="6">
        <v>19.227600259999999</v>
      </c>
    </row>
    <row r="13" spans="1:11" x14ac:dyDescent="0.3">
      <c r="A13" s="6">
        <v>21.565706500000001</v>
      </c>
      <c r="B13" s="6">
        <v>22.868939650000002</v>
      </c>
    </row>
    <row r="14" spans="1:11" x14ac:dyDescent="0.3">
      <c r="A14" s="6">
        <v>13.09241048</v>
      </c>
      <c r="B14" s="6">
        <v>9.9545059630000008</v>
      </c>
    </row>
    <row r="15" spans="1:11" x14ac:dyDescent="0.3">
      <c r="A15" s="6">
        <v>21.84915621</v>
      </c>
      <c r="B15" s="6">
        <v>10.954870550000001</v>
      </c>
    </row>
    <row r="16" spans="1:11" x14ac:dyDescent="0.3">
      <c r="A16" s="6">
        <v>19.07504389</v>
      </c>
      <c r="B16" s="6">
        <v>18.578238089999999</v>
      </c>
    </row>
    <row r="17" spans="1:2" x14ac:dyDescent="0.3">
      <c r="A17" s="6">
        <v>17.50656343</v>
      </c>
      <c r="B17">
        <v>4.6699165569999996</v>
      </c>
    </row>
    <row r="18" spans="1:2" x14ac:dyDescent="0.3">
      <c r="A18" s="6">
        <v>21.341049940000001</v>
      </c>
      <c r="B18">
        <v>29.12074256</v>
      </c>
    </row>
    <row r="19" spans="1:2" x14ac:dyDescent="0.3">
      <c r="A19" s="6">
        <v>19.835688409999999</v>
      </c>
      <c r="B19">
        <v>12.364998890000001</v>
      </c>
    </row>
    <row r="20" spans="1:2" x14ac:dyDescent="0.3">
      <c r="A20" s="6">
        <v>16.144833859999999</v>
      </c>
      <c r="B20">
        <v>20.408065260000001</v>
      </c>
    </row>
    <row r="21" spans="1:2" x14ac:dyDescent="0.3">
      <c r="A21" s="6">
        <v>17.61256504</v>
      </c>
      <c r="B21">
        <v>39.322251319999999</v>
      </c>
    </row>
    <row r="22" spans="1:2" x14ac:dyDescent="0.3">
      <c r="A22" s="6">
        <v>18.161081289999998</v>
      </c>
      <c r="B22">
        <v>8.7216335990000005</v>
      </c>
    </row>
    <row r="23" spans="1:2" x14ac:dyDescent="0.3">
      <c r="A23" s="6">
        <v>13.481378619999999</v>
      </c>
      <c r="B23">
        <v>15.17412334</v>
      </c>
    </row>
    <row r="24" spans="1:2" x14ac:dyDescent="0.3">
      <c r="A24" s="6">
        <v>16.824362820000001</v>
      </c>
      <c r="B24">
        <v>13.32646212</v>
      </c>
    </row>
    <row r="25" spans="1:2" x14ac:dyDescent="0.3">
      <c r="A25" s="6">
        <v>16.03054448</v>
      </c>
      <c r="B25">
        <v>32.049968059999998</v>
      </c>
    </row>
    <row r="26" spans="1:2" x14ac:dyDescent="0.3">
      <c r="A26" s="6">
        <v>22.458841660000001</v>
      </c>
      <c r="B26">
        <v>33.598491930000002</v>
      </c>
    </row>
    <row r="27" spans="1:2" x14ac:dyDescent="0.3">
      <c r="A27" s="6">
        <v>23.260799989999999</v>
      </c>
      <c r="B27">
        <v>23.201269010000001</v>
      </c>
    </row>
    <row r="28" spans="1:2" x14ac:dyDescent="0.3">
      <c r="A28" s="6">
        <v>16.716456959999999</v>
      </c>
      <c r="B28">
        <v>26.202219540000002</v>
      </c>
    </row>
    <row r="29" spans="1:2" x14ac:dyDescent="0.3">
      <c r="A29" s="6">
        <v>25.217668790000001</v>
      </c>
      <c r="B29">
        <v>20.52733753</v>
      </c>
    </row>
    <row r="30" spans="1:2" x14ac:dyDescent="0.3">
      <c r="A30" s="6">
        <v>22.274015290000001</v>
      </c>
      <c r="B30">
        <v>36.084168239999997</v>
      </c>
    </row>
    <row r="31" spans="1:2" x14ac:dyDescent="0.3">
      <c r="A31" s="6">
        <v>24.654168609999999</v>
      </c>
      <c r="B31">
        <v>22.905180739999999</v>
      </c>
    </row>
    <row r="32" spans="1:2" x14ac:dyDescent="0.3">
      <c r="A32" s="6">
        <v>21.992043509999998</v>
      </c>
      <c r="B32">
        <v>20.624611399999999</v>
      </c>
    </row>
    <row r="33" spans="1:2" x14ac:dyDescent="0.3">
      <c r="A33" s="6">
        <v>19.03221237</v>
      </c>
      <c r="B33">
        <v>9.9133331380000005</v>
      </c>
    </row>
    <row r="34" spans="1:2" x14ac:dyDescent="0.3">
      <c r="A34" s="6">
        <v>20.77515665</v>
      </c>
      <c r="B34">
        <v>35.202431310000001</v>
      </c>
    </row>
    <row r="35" spans="1:2" x14ac:dyDescent="0.3">
      <c r="A35" s="6">
        <v>21.758530740000001</v>
      </c>
      <c r="B35">
        <v>18.200428309999999</v>
      </c>
    </row>
    <row r="36" spans="1:2" x14ac:dyDescent="0.3">
      <c r="A36" s="6">
        <v>29.542100090000002</v>
      </c>
      <c r="B36">
        <v>12.47883807</v>
      </c>
    </row>
    <row r="37" spans="1:2" x14ac:dyDescent="0.3">
      <c r="A37" s="6">
        <v>22.323758959999999</v>
      </c>
      <c r="B37">
        <v>29.548698470000001</v>
      </c>
    </row>
    <row r="38" spans="1:2" x14ac:dyDescent="0.3">
      <c r="A38" s="6">
        <v>23.199534150000002</v>
      </c>
      <c r="B38">
        <v>27.377630029999999</v>
      </c>
    </row>
    <row r="39" spans="1:2" x14ac:dyDescent="0.3">
      <c r="A39" s="6">
        <v>20.998983299999999</v>
      </c>
      <c r="B39">
        <v>8.8990942050000008</v>
      </c>
    </row>
    <row r="40" spans="1:2" x14ac:dyDescent="0.3">
      <c r="A40" s="6">
        <v>24.316689230000001</v>
      </c>
      <c r="B40">
        <v>27.162004750000001</v>
      </c>
    </row>
    <row r="41" spans="1:2" x14ac:dyDescent="0.3">
      <c r="A41" s="6">
        <v>28.636629899999999</v>
      </c>
      <c r="B41">
        <v>16.529552389999999</v>
      </c>
    </row>
    <row r="42" spans="1:2" x14ac:dyDescent="0.3">
      <c r="A42" s="6">
        <v>17.05593154</v>
      </c>
      <c r="B42">
        <v>36.827325449999996</v>
      </c>
    </row>
    <row r="43" spans="1:2" x14ac:dyDescent="0.3">
      <c r="A43" s="6">
        <v>22.22281074</v>
      </c>
      <c r="B43">
        <v>17.32742936</v>
      </c>
    </row>
    <row r="44" spans="1:2" x14ac:dyDescent="0.3">
      <c r="A44" s="6">
        <v>26.015341110000001</v>
      </c>
      <c r="B44">
        <v>13.48853407</v>
      </c>
    </row>
    <row r="45" spans="1:2" x14ac:dyDescent="0.3">
      <c r="A45" s="6">
        <v>15.603923249999999</v>
      </c>
      <c r="B45">
        <v>11.4391833</v>
      </c>
    </row>
    <row r="46" spans="1:2" x14ac:dyDescent="0.3">
      <c r="A46" s="6">
        <v>20.61834271</v>
      </c>
      <c r="B46">
        <v>7.2568878349999997</v>
      </c>
    </row>
    <row r="47" spans="1:2" x14ac:dyDescent="0.3">
      <c r="A47" s="6">
        <v>24.731407440000002</v>
      </c>
      <c r="B47">
        <v>10.55341505</v>
      </c>
    </row>
    <row r="48" spans="1:2" x14ac:dyDescent="0.3">
      <c r="A48" s="6">
        <v>26.38841584</v>
      </c>
      <c r="B48">
        <v>13.92808263</v>
      </c>
    </row>
    <row r="49" spans="1:2" x14ac:dyDescent="0.3">
      <c r="A49" s="6">
        <v>20.281090710000001</v>
      </c>
      <c r="B49">
        <v>19.224837669999999</v>
      </c>
    </row>
    <row r="50" spans="1:2" x14ac:dyDescent="0.3">
      <c r="A50" s="6">
        <v>28.853771760000001</v>
      </c>
      <c r="B50">
        <v>17.543975499999998</v>
      </c>
    </row>
    <row r="51" spans="1:2" x14ac:dyDescent="0.3">
      <c r="A51" s="6">
        <v>23.509990169999998</v>
      </c>
      <c r="B51">
        <v>34.493898559999998</v>
      </c>
    </row>
    <row r="52" spans="1:2" x14ac:dyDescent="0.3">
      <c r="A52" s="6">
        <v>18.755845350000001</v>
      </c>
      <c r="B52">
        <v>22.598553689999999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>
      <selection activeCell="E22" sqref="E22"/>
    </sheetView>
  </sheetViews>
  <sheetFormatPr defaultRowHeight="14.4" x14ac:dyDescent="0.3"/>
  <cols>
    <col min="1" max="1" width="13.88671875" customWidth="1"/>
    <col min="2" max="2" width="20.21875" customWidth="1"/>
    <col min="3" max="3" width="15.21875" customWidth="1"/>
    <col min="4" max="4" width="13.21875" customWidth="1"/>
    <col min="7" max="7" width="12" bestFit="1" customWidth="1"/>
  </cols>
  <sheetData>
    <row r="1" spans="1:8" ht="15" x14ac:dyDescent="0.35">
      <c r="A1" s="6" t="s">
        <v>0</v>
      </c>
      <c r="B1" s="6" t="s">
        <v>1</v>
      </c>
      <c r="C1" t="s">
        <v>15</v>
      </c>
      <c r="D1" t="s">
        <v>44</v>
      </c>
      <c r="E1" t="s">
        <v>45</v>
      </c>
      <c r="F1" t="s">
        <v>25</v>
      </c>
      <c r="G1" s="9"/>
      <c r="H1" s="5"/>
    </row>
    <row r="2" spans="1:8" x14ac:dyDescent="0.3">
      <c r="A2" s="6" t="s">
        <v>3</v>
      </c>
      <c r="B2" s="6" t="s">
        <v>2</v>
      </c>
      <c r="C2" t="s">
        <v>16</v>
      </c>
      <c r="D2">
        <f>_xlfn.VAR.S(A3:A52)</f>
        <v>16.444771101113009</v>
      </c>
      <c r="E2">
        <f>D3/D2</f>
        <v>5.0631850044505491</v>
      </c>
      <c r="F2">
        <f>_xlfn.F.INV(0.025, 49, 49)</f>
        <v>0.56747616954734093</v>
      </c>
    </row>
    <row r="3" spans="1:8" x14ac:dyDescent="0.3">
      <c r="A3" s="6">
        <v>18.651412619999999</v>
      </c>
      <c r="B3" s="6">
        <v>7.1794943829999998</v>
      </c>
      <c r="C3" t="s">
        <v>40</v>
      </c>
      <c r="D3">
        <f>_xlfn.VAR.S(B3:B52)</f>
        <v>83.262918440777128</v>
      </c>
      <c r="F3">
        <f>_xlfn.F.INV(0.975, 49, 49)</f>
        <v>1.7621885352431099</v>
      </c>
    </row>
    <row r="4" spans="1:8" ht="15" x14ac:dyDescent="0.35">
      <c r="A4" s="6">
        <v>16.318115339999999</v>
      </c>
      <c r="B4" s="6">
        <v>20.23858547</v>
      </c>
      <c r="C4" s="5" t="s">
        <v>41</v>
      </c>
    </row>
    <row r="5" spans="1:8" x14ac:dyDescent="0.3">
      <c r="A5" s="6">
        <v>18.289399629999998</v>
      </c>
      <c r="B5" s="6">
        <v>23.26074655</v>
      </c>
      <c r="C5" t="s">
        <v>42</v>
      </c>
      <c r="E5" t="s">
        <v>46</v>
      </c>
    </row>
    <row r="6" spans="1:8" x14ac:dyDescent="0.3">
      <c r="A6" s="6">
        <v>14.7038873</v>
      </c>
      <c r="B6" s="6">
        <v>23.670070330000001</v>
      </c>
      <c r="C6" t="s">
        <v>43</v>
      </c>
    </row>
    <row r="7" spans="1:8" x14ac:dyDescent="0.3">
      <c r="A7" s="6">
        <v>18.486833870000002</v>
      </c>
      <c r="B7" s="6">
        <v>26.698032850000001</v>
      </c>
    </row>
    <row r="8" spans="1:8" x14ac:dyDescent="0.3">
      <c r="A8" s="6">
        <v>12.84250407</v>
      </c>
      <c r="B8" s="6">
        <v>14.30742719</v>
      </c>
    </row>
    <row r="9" spans="1:8" x14ac:dyDescent="0.3">
      <c r="A9" s="6">
        <v>26.924528859999999</v>
      </c>
      <c r="B9" s="6">
        <v>28.266652000000001</v>
      </c>
    </row>
    <row r="10" spans="1:8" x14ac:dyDescent="0.3">
      <c r="A10" s="6">
        <v>22.652376449999998</v>
      </c>
      <c r="B10" s="6">
        <v>36.145763770000002</v>
      </c>
    </row>
    <row r="11" spans="1:8" x14ac:dyDescent="0.3">
      <c r="A11" s="6">
        <v>22.1663709</v>
      </c>
      <c r="B11" s="6">
        <v>29.35155185</v>
      </c>
    </row>
    <row r="12" spans="1:8" x14ac:dyDescent="0.3">
      <c r="A12" s="6">
        <v>20.97402335</v>
      </c>
      <c r="B12" s="6">
        <v>19.227600259999999</v>
      </c>
    </row>
    <row r="13" spans="1:8" x14ac:dyDescent="0.3">
      <c r="A13" s="6">
        <v>21.565706500000001</v>
      </c>
      <c r="B13" s="6">
        <v>22.868939650000002</v>
      </c>
    </row>
    <row r="14" spans="1:8" x14ac:dyDescent="0.3">
      <c r="A14" s="6">
        <v>13.09241048</v>
      </c>
      <c r="B14" s="6">
        <v>9.9545059630000008</v>
      </c>
    </row>
    <row r="15" spans="1:8" x14ac:dyDescent="0.3">
      <c r="A15" s="6">
        <v>21.84915621</v>
      </c>
      <c r="B15" s="6">
        <v>10.954870550000001</v>
      </c>
    </row>
    <row r="16" spans="1:8" x14ac:dyDescent="0.3">
      <c r="A16" s="6">
        <v>19.07504389</v>
      </c>
      <c r="B16" s="6">
        <v>18.578238089999999</v>
      </c>
    </row>
    <row r="17" spans="1:2" x14ac:dyDescent="0.3">
      <c r="A17" s="6">
        <v>17.50656343</v>
      </c>
      <c r="B17">
        <v>4.6699165569999996</v>
      </c>
    </row>
    <row r="18" spans="1:2" x14ac:dyDescent="0.3">
      <c r="A18" s="6">
        <v>21.341049940000001</v>
      </c>
      <c r="B18">
        <v>29.12074256</v>
      </c>
    </row>
    <row r="19" spans="1:2" x14ac:dyDescent="0.3">
      <c r="A19" s="6">
        <v>19.835688409999999</v>
      </c>
      <c r="B19">
        <v>12.364998890000001</v>
      </c>
    </row>
    <row r="20" spans="1:2" x14ac:dyDescent="0.3">
      <c r="A20" s="6">
        <v>16.144833859999999</v>
      </c>
      <c r="B20">
        <v>20.408065260000001</v>
      </c>
    </row>
    <row r="21" spans="1:2" x14ac:dyDescent="0.3">
      <c r="A21" s="6">
        <v>17.61256504</v>
      </c>
      <c r="B21">
        <v>39.322251319999999</v>
      </c>
    </row>
    <row r="22" spans="1:2" x14ac:dyDescent="0.3">
      <c r="A22" s="6">
        <v>18.161081289999998</v>
      </c>
      <c r="B22">
        <v>8.7216335990000005</v>
      </c>
    </row>
    <row r="23" spans="1:2" x14ac:dyDescent="0.3">
      <c r="A23" s="6">
        <v>13.481378619999999</v>
      </c>
      <c r="B23">
        <v>15.17412334</v>
      </c>
    </row>
    <row r="24" spans="1:2" x14ac:dyDescent="0.3">
      <c r="A24" s="6">
        <v>16.824362820000001</v>
      </c>
      <c r="B24">
        <v>13.32646212</v>
      </c>
    </row>
    <row r="25" spans="1:2" x14ac:dyDescent="0.3">
      <c r="A25" s="6">
        <v>16.03054448</v>
      </c>
      <c r="B25">
        <v>32.049968059999998</v>
      </c>
    </row>
    <row r="26" spans="1:2" x14ac:dyDescent="0.3">
      <c r="A26" s="6">
        <v>22.458841660000001</v>
      </c>
      <c r="B26">
        <v>33.598491930000002</v>
      </c>
    </row>
    <row r="27" spans="1:2" x14ac:dyDescent="0.3">
      <c r="A27" s="6">
        <v>23.260799989999999</v>
      </c>
      <c r="B27">
        <v>23.201269010000001</v>
      </c>
    </row>
    <row r="28" spans="1:2" x14ac:dyDescent="0.3">
      <c r="A28" s="6">
        <v>16.716456959999999</v>
      </c>
      <c r="B28">
        <v>26.202219540000002</v>
      </c>
    </row>
    <row r="29" spans="1:2" x14ac:dyDescent="0.3">
      <c r="A29" s="6">
        <v>25.217668790000001</v>
      </c>
      <c r="B29">
        <v>20.52733753</v>
      </c>
    </row>
    <row r="30" spans="1:2" x14ac:dyDescent="0.3">
      <c r="A30" s="6">
        <v>22.274015290000001</v>
      </c>
      <c r="B30">
        <v>36.084168239999997</v>
      </c>
    </row>
    <row r="31" spans="1:2" x14ac:dyDescent="0.3">
      <c r="A31" s="6">
        <v>24.654168609999999</v>
      </c>
      <c r="B31">
        <v>22.905180739999999</v>
      </c>
    </row>
    <row r="32" spans="1:2" x14ac:dyDescent="0.3">
      <c r="A32" s="6">
        <v>21.992043509999998</v>
      </c>
      <c r="B32">
        <v>20.624611399999999</v>
      </c>
    </row>
    <row r="33" spans="1:2" x14ac:dyDescent="0.3">
      <c r="A33" s="6">
        <v>19.03221237</v>
      </c>
      <c r="B33">
        <v>9.9133331380000005</v>
      </c>
    </row>
    <row r="34" spans="1:2" x14ac:dyDescent="0.3">
      <c r="A34" s="6">
        <v>20.77515665</v>
      </c>
      <c r="B34">
        <v>35.202431310000001</v>
      </c>
    </row>
    <row r="35" spans="1:2" x14ac:dyDescent="0.3">
      <c r="A35" s="6">
        <v>21.758530740000001</v>
      </c>
      <c r="B35">
        <v>18.200428309999999</v>
      </c>
    </row>
    <row r="36" spans="1:2" x14ac:dyDescent="0.3">
      <c r="A36" s="6">
        <v>29.542100090000002</v>
      </c>
      <c r="B36">
        <v>12.47883807</v>
      </c>
    </row>
    <row r="37" spans="1:2" x14ac:dyDescent="0.3">
      <c r="A37" s="6">
        <v>22.323758959999999</v>
      </c>
      <c r="B37">
        <v>29.548698470000001</v>
      </c>
    </row>
    <row r="38" spans="1:2" x14ac:dyDescent="0.3">
      <c r="A38" s="6">
        <v>23.199534150000002</v>
      </c>
      <c r="B38">
        <v>27.377630029999999</v>
      </c>
    </row>
    <row r="39" spans="1:2" x14ac:dyDescent="0.3">
      <c r="A39" s="6">
        <v>20.998983299999999</v>
      </c>
      <c r="B39">
        <v>8.8990942050000008</v>
      </c>
    </row>
    <row r="40" spans="1:2" x14ac:dyDescent="0.3">
      <c r="A40" s="6">
        <v>24.316689230000001</v>
      </c>
      <c r="B40">
        <v>27.162004750000001</v>
      </c>
    </row>
    <row r="41" spans="1:2" x14ac:dyDescent="0.3">
      <c r="A41" s="6">
        <v>28.636629899999999</v>
      </c>
      <c r="B41">
        <v>16.529552389999999</v>
      </c>
    </row>
    <row r="42" spans="1:2" x14ac:dyDescent="0.3">
      <c r="A42" s="6">
        <v>17.05593154</v>
      </c>
      <c r="B42">
        <v>36.827325449999996</v>
      </c>
    </row>
    <row r="43" spans="1:2" x14ac:dyDescent="0.3">
      <c r="A43" s="6">
        <v>22.22281074</v>
      </c>
      <c r="B43">
        <v>17.32742936</v>
      </c>
    </row>
    <row r="44" spans="1:2" x14ac:dyDescent="0.3">
      <c r="A44" s="6">
        <v>26.015341110000001</v>
      </c>
      <c r="B44">
        <v>13.48853407</v>
      </c>
    </row>
    <row r="45" spans="1:2" x14ac:dyDescent="0.3">
      <c r="A45" s="6">
        <v>15.603923249999999</v>
      </c>
      <c r="B45">
        <v>11.4391833</v>
      </c>
    </row>
    <row r="46" spans="1:2" x14ac:dyDescent="0.3">
      <c r="A46" s="6">
        <v>20.61834271</v>
      </c>
      <c r="B46">
        <v>7.2568878349999997</v>
      </c>
    </row>
    <row r="47" spans="1:2" x14ac:dyDescent="0.3">
      <c r="A47" s="6">
        <v>24.731407440000002</v>
      </c>
      <c r="B47">
        <v>10.55341505</v>
      </c>
    </row>
    <row r="48" spans="1:2" x14ac:dyDescent="0.3">
      <c r="A48" s="6">
        <v>26.38841584</v>
      </c>
      <c r="B48">
        <v>13.92808263</v>
      </c>
    </row>
    <row r="49" spans="1:2" x14ac:dyDescent="0.3">
      <c r="A49" s="6">
        <v>20.281090710000001</v>
      </c>
      <c r="B49">
        <v>19.224837669999999</v>
      </c>
    </row>
    <row r="50" spans="1:2" x14ac:dyDescent="0.3">
      <c r="A50" s="6">
        <v>28.853771760000001</v>
      </c>
      <c r="B50">
        <v>17.543975499999998</v>
      </c>
    </row>
    <row r="51" spans="1:2" x14ac:dyDescent="0.3">
      <c r="A51" s="6">
        <v>23.509990169999998</v>
      </c>
      <c r="B51">
        <v>34.493898559999998</v>
      </c>
    </row>
    <row r="52" spans="1:2" x14ac:dyDescent="0.3">
      <c r="A52" s="6">
        <v>18.755845350000001</v>
      </c>
      <c r="B52">
        <v>22.598553689999999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2"/>
  <sheetViews>
    <sheetView tabSelected="1" topLeftCell="J1" workbookViewId="0">
      <selection activeCell="O17" sqref="O17"/>
    </sheetView>
  </sheetViews>
  <sheetFormatPr defaultRowHeight="14.4" x14ac:dyDescent="0.3"/>
  <cols>
    <col min="1" max="1" width="22.109375" customWidth="1"/>
    <col min="2" max="2" width="13.88671875" customWidth="1"/>
    <col min="3" max="3" width="9.44140625" customWidth="1"/>
    <col min="4" max="4" width="24.5546875" customWidth="1"/>
    <col min="5" max="5" width="8.77734375" customWidth="1"/>
    <col min="6" max="6" width="12.77734375" customWidth="1"/>
    <col min="8" max="8" width="11.109375" customWidth="1"/>
    <col min="9" max="9" width="9.21875" customWidth="1"/>
    <col min="10" max="10" width="14.33203125" customWidth="1"/>
    <col min="11" max="11" width="13.21875" customWidth="1"/>
    <col min="12" max="12" width="16.6640625" customWidth="1"/>
    <col min="13" max="13" width="12" bestFit="1" customWidth="1"/>
    <col min="15" max="15" width="27.77734375" customWidth="1"/>
    <col min="16" max="16" width="13.88671875" customWidth="1"/>
    <col min="17" max="17" width="10.88671875" customWidth="1"/>
    <col min="20" max="20" width="22.21875" customWidth="1"/>
  </cols>
  <sheetData>
    <row r="1" spans="1:23" x14ac:dyDescent="0.3">
      <c r="A1" s="15" t="s">
        <v>66</v>
      </c>
      <c r="B1" s="6" t="s">
        <v>0</v>
      </c>
      <c r="C1" t="s">
        <v>15</v>
      </c>
      <c r="D1" t="s">
        <v>51</v>
      </c>
      <c r="E1" t="s">
        <v>47</v>
      </c>
      <c r="F1" t="s">
        <v>48</v>
      </c>
      <c r="G1" t="s">
        <v>9</v>
      </c>
      <c r="H1" t="s">
        <v>64</v>
      </c>
      <c r="I1" t="s">
        <v>50</v>
      </c>
      <c r="J1" t="s">
        <v>60</v>
      </c>
      <c r="K1" t="s">
        <v>61</v>
      </c>
      <c r="M1" t="s">
        <v>62</v>
      </c>
      <c r="N1" t="s">
        <v>65</v>
      </c>
      <c r="O1" s="15" t="s">
        <v>63</v>
      </c>
      <c r="P1" s="6" t="s">
        <v>0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</row>
    <row r="2" spans="1:23" x14ac:dyDescent="0.3">
      <c r="B2" s="6" t="s">
        <v>3</v>
      </c>
      <c r="C2" t="s">
        <v>16</v>
      </c>
      <c r="D2" t="s">
        <v>52</v>
      </c>
      <c r="E2">
        <f>ROUNDDOWN(1 + LOG(COUNT(B2:B100), 2), 0)</f>
        <v>6</v>
      </c>
      <c r="F2" s="12">
        <f>MIN(B3:B52)</f>
        <v>12.84250407</v>
      </c>
      <c r="G2">
        <f>F2</f>
        <v>12.84250407</v>
      </c>
      <c r="H2" t="str">
        <f t="shared" ref="H2:H7" si="0">"["&amp;TEXT(G2,"0,00")&amp;"; "&amp;TEXT(G3,"0,00")&amp;")"</f>
        <v>[12,84; 15,63)</v>
      </c>
      <c r="I2">
        <f t="array" ref="I2:I7">FREQUENCY( B3:B52,G3:G8)</f>
        <v>5</v>
      </c>
      <c r="J2">
        <f t="shared" ref="J2:J6" si="1">_xlfn.NORM.DIST(G3, 20, 9, TRUE) - _xlfn.NORM.DIST(G2, 20, 9, TRUE)</f>
        <v>0.10024842627075933</v>
      </c>
      <c r="K2">
        <f t="shared" ref="K2:K7" si="2">J2*50</f>
        <v>5.0124213135379669</v>
      </c>
      <c r="M2">
        <f>(I2-K2)^2/K2</f>
        <v>3.0781337073913563E-5</v>
      </c>
      <c r="N2">
        <f>CHIINV(0.05, 3)</f>
        <v>7.8147279032511792</v>
      </c>
      <c r="P2" s="6">
        <v>12.84250407</v>
      </c>
      <c r="Q2">
        <f t="shared" ref="Q2:Q33" si="3">(ROW(B2)-1)/50</f>
        <v>0.02</v>
      </c>
      <c r="R2">
        <f>_xlfn.NORM.DIST(P2, 20, 9, TRUE)</f>
        <v>0.213226100106266</v>
      </c>
      <c r="S2">
        <f t="shared" ref="S2:S8" si="4">ABS(Q2 - R2)</f>
        <v>0.19322610010626601</v>
      </c>
      <c r="T2">
        <f>MAX(S2:S51)</f>
        <v>0.21261451427710051</v>
      </c>
      <c r="U2">
        <f>1.385/SQRT(50)</f>
        <v>0.19586857838867366</v>
      </c>
    </row>
    <row r="3" spans="1:23" x14ac:dyDescent="0.3">
      <c r="B3" s="6">
        <v>18.651412619999999</v>
      </c>
      <c r="F3">
        <f>MAX(B3:B512)</f>
        <v>29.542100090000002</v>
      </c>
      <c r="G3">
        <f t="shared" ref="G3:G8" si="5">G2+$F$5</f>
        <v>15.625770073333333</v>
      </c>
      <c r="H3" t="str">
        <f t="shared" si="0"/>
        <v>[15,63; 18,41)</v>
      </c>
      <c r="I3">
        <v>10</v>
      </c>
      <c r="J3">
        <f t="shared" si="1"/>
        <v>0.11636852044500939</v>
      </c>
      <c r="K3">
        <f t="shared" si="2"/>
        <v>5.8184260222504696</v>
      </c>
      <c r="M3">
        <f t="shared" ref="M3:M7" si="6">(I3-K3)^2/K3</f>
        <v>3.0052046489075939</v>
      </c>
      <c r="P3" s="6">
        <v>13.09241048</v>
      </c>
      <c r="Q3">
        <f t="shared" si="3"/>
        <v>0.04</v>
      </c>
      <c r="R3">
        <f t="shared" ref="R3:R51" si="7">_xlfn.NORM.DIST(P3, 20, 9, TRUE)</f>
        <v>0.22138919080281991</v>
      </c>
      <c r="S3">
        <f t="shared" si="4"/>
        <v>0.1813891908028199</v>
      </c>
    </row>
    <row r="4" spans="1:23" ht="17.399999999999999" customHeight="1" x14ac:dyDescent="0.3">
      <c r="B4" s="6">
        <v>16.318115339999999</v>
      </c>
      <c r="F4" t="s">
        <v>49</v>
      </c>
      <c r="G4">
        <f t="shared" si="5"/>
        <v>18.409036076666666</v>
      </c>
      <c r="H4" t="str">
        <f t="shared" si="0"/>
        <v>[18,41; 21,19)</v>
      </c>
      <c r="I4">
        <v>11</v>
      </c>
      <c r="J4">
        <f t="shared" si="1"/>
        <v>0.12285384514393088</v>
      </c>
      <c r="K4">
        <f t="shared" si="2"/>
        <v>6.1426922571965443</v>
      </c>
      <c r="M4">
        <f t="shared" si="6"/>
        <v>3.8408954120495338</v>
      </c>
      <c r="P4" s="6">
        <v>13.481378619999999</v>
      </c>
      <c r="Q4">
        <f t="shared" si="3"/>
        <v>0.06</v>
      </c>
      <c r="R4">
        <f t="shared" si="7"/>
        <v>0.23444346941959474</v>
      </c>
      <c r="S4">
        <f t="shared" si="4"/>
        <v>0.17444346941959474</v>
      </c>
      <c r="T4" s="16" t="s">
        <v>59</v>
      </c>
      <c r="U4" s="16"/>
      <c r="V4" s="16"/>
      <c r="W4" s="16"/>
    </row>
    <row r="5" spans="1:23" x14ac:dyDescent="0.3">
      <c r="B5" s="6">
        <v>18.289399629999998</v>
      </c>
      <c r="F5">
        <f>(F3-F2)/E2</f>
        <v>2.7832660033333334</v>
      </c>
      <c r="G5">
        <f t="shared" si="5"/>
        <v>21.192302080000001</v>
      </c>
      <c r="H5" t="str">
        <f t="shared" si="0"/>
        <v>[21,19; 23,98)</v>
      </c>
      <c r="I5">
        <v>14</v>
      </c>
      <c r="J5">
        <f t="shared" si="1"/>
        <v>0.11796073196228707</v>
      </c>
      <c r="K5">
        <f t="shared" si="2"/>
        <v>5.8980365981143539</v>
      </c>
      <c r="M5">
        <f t="shared" si="6"/>
        <v>11.129434325056682</v>
      </c>
      <c r="P5" s="6">
        <v>14.7038873</v>
      </c>
      <c r="Q5">
        <f t="shared" si="3"/>
        <v>0.08</v>
      </c>
      <c r="R5">
        <f t="shared" si="7"/>
        <v>0.27811280520743215</v>
      </c>
      <c r="S5">
        <f t="shared" si="4"/>
        <v>0.19811280520743213</v>
      </c>
    </row>
    <row r="6" spans="1:23" x14ac:dyDescent="0.3">
      <c r="B6" s="6">
        <v>14.7038873</v>
      </c>
      <c r="G6">
        <f t="shared" si="5"/>
        <v>23.975568083333336</v>
      </c>
      <c r="H6" t="str">
        <f t="shared" si="0"/>
        <v>[23,98; 26,76)</v>
      </c>
      <c r="I6">
        <v>6</v>
      </c>
      <c r="J6">
        <f t="shared" si="1"/>
        <v>0.10301050089213937</v>
      </c>
      <c r="K6">
        <f t="shared" si="2"/>
        <v>5.1505250446069688</v>
      </c>
      <c r="M6">
        <f t="shared" si="6"/>
        <v>0.14010371633773067</v>
      </c>
      <c r="P6" s="6">
        <v>15.603923249999999</v>
      </c>
      <c r="Q6">
        <f t="shared" si="3"/>
        <v>0.1</v>
      </c>
      <c r="R6">
        <f t="shared" si="7"/>
        <v>0.31261451427710052</v>
      </c>
      <c r="S6">
        <f t="shared" si="4"/>
        <v>0.21261451427710051</v>
      </c>
    </row>
    <row r="7" spans="1:23" x14ac:dyDescent="0.3">
      <c r="B7" s="6">
        <v>18.486833870000002</v>
      </c>
      <c r="G7">
        <f t="shared" si="5"/>
        <v>26.758834086666671</v>
      </c>
      <c r="H7" t="str">
        <f t="shared" si="0"/>
        <v>[26,76; 29,54)</v>
      </c>
      <c r="I7">
        <v>4</v>
      </c>
      <c r="J7">
        <f>(1-SUM(J2:J6))</f>
        <v>0.43955797528587393</v>
      </c>
      <c r="K7">
        <f t="shared" si="2"/>
        <v>21.977898764293695</v>
      </c>
      <c r="M7">
        <f t="shared" si="6"/>
        <v>14.70590284564811</v>
      </c>
      <c r="P7" s="6">
        <v>16.03054448</v>
      </c>
      <c r="Q7">
        <f t="shared" si="3"/>
        <v>0.12</v>
      </c>
      <c r="R7">
        <f t="shared" si="7"/>
        <v>0.32958817791954431</v>
      </c>
      <c r="S7">
        <f t="shared" si="4"/>
        <v>0.20958817791954432</v>
      </c>
    </row>
    <row r="8" spans="1:23" x14ac:dyDescent="0.3">
      <c r="B8" s="6">
        <v>12.84250407</v>
      </c>
      <c r="G8">
        <f t="shared" si="5"/>
        <v>29.542100090000005</v>
      </c>
      <c r="I8">
        <f ca="1">SUM(I2:I8)</f>
        <v>50</v>
      </c>
      <c r="J8">
        <f>SUM(J2:J7)</f>
        <v>1</v>
      </c>
      <c r="M8">
        <f>SUM(M2:M7)</f>
        <v>32.821571729336725</v>
      </c>
      <c r="P8" s="6">
        <v>16.144833859999999</v>
      </c>
      <c r="Q8">
        <f t="shared" si="3"/>
        <v>0.14000000000000001</v>
      </c>
      <c r="R8">
        <f t="shared" si="7"/>
        <v>0.33419750798766318</v>
      </c>
      <c r="S8">
        <f t="shared" si="4"/>
        <v>0.19419750798766316</v>
      </c>
    </row>
    <row r="9" spans="1:23" x14ac:dyDescent="0.3">
      <c r="B9" s="6">
        <v>26.924528859999999</v>
      </c>
      <c r="P9" s="6">
        <v>16.318115339999999</v>
      </c>
      <c r="Q9">
        <f t="shared" si="3"/>
        <v>0.16</v>
      </c>
      <c r="R9">
        <f t="shared" si="7"/>
        <v>0.34123376352518464</v>
      </c>
      <c r="S9">
        <f t="shared" ref="S9:S51" si="8">ABS(Q9 - R9)</f>
        <v>0.18123376352518464</v>
      </c>
    </row>
    <row r="10" spans="1:23" x14ac:dyDescent="0.3">
      <c r="B10" s="6">
        <v>22.652376449999998</v>
      </c>
      <c r="K10" t="s">
        <v>53</v>
      </c>
      <c r="P10" s="6">
        <v>16.716456959999999</v>
      </c>
      <c r="Q10">
        <f t="shared" si="3"/>
        <v>0.18</v>
      </c>
      <c r="R10">
        <f t="shared" si="7"/>
        <v>0.35761612560666456</v>
      </c>
      <c r="S10">
        <f t="shared" si="8"/>
        <v>0.17761612560666457</v>
      </c>
    </row>
    <row r="11" spans="1:23" x14ac:dyDescent="0.3">
      <c r="B11" s="6">
        <v>22.1663709</v>
      </c>
      <c r="P11" s="6">
        <v>16.824362820000001</v>
      </c>
      <c r="Q11">
        <f t="shared" si="3"/>
        <v>0.2</v>
      </c>
      <c r="R11">
        <f t="shared" si="7"/>
        <v>0.36210098245981281</v>
      </c>
      <c r="S11">
        <f t="shared" si="8"/>
        <v>0.1621009824598128</v>
      </c>
    </row>
    <row r="12" spans="1:23" x14ac:dyDescent="0.3">
      <c r="B12" s="6">
        <v>20.97402335</v>
      </c>
      <c r="P12" s="6">
        <v>17.05593154</v>
      </c>
      <c r="Q12">
        <f t="shared" si="3"/>
        <v>0.22</v>
      </c>
      <c r="R12">
        <f t="shared" si="7"/>
        <v>0.37178904759845061</v>
      </c>
      <c r="S12">
        <f t="shared" si="8"/>
        <v>0.1517890475984506</v>
      </c>
    </row>
    <row r="13" spans="1:23" x14ac:dyDescent="0.3">
      <c r="B13" s="6">
        <v>21.565706500000001</v>
      </c>
      <c r="P13" s="6">
        <v>17.50656343</v>
      </c>
      <c r="Q13">
        <f t="shared" si="3"/>
        <v>0.24</v>
      </c>
      <c r="R13">
        <f t="shared" si="7"/>
        <v>0.39087142975560574</v>
      </c>
      <c r="S13">
        <f t="shared" si="8"/>
        <v>0.15087142975560575</v>
      </c>
    </row>
    <row r="14" spans="1:23" x14ac:dyDescent="0.3">
      <c r="B14" s="6">
        <v>13.09241048</v>
      </c>
      <c r="P14" s="6">
        <v>17.61256504</v>
      </c>
      <c r="Q14">
        <f t="shared" si="3"/>
        <v>0.26</v>
      </c>
      <c r="R14">
        <f t="shared" si="7"/>
        <v>0.3954005244459694</v>
      </c>
      <c r="S14">
        <f t="shared" si="8"/>
        <v>0.13540052444596939</v>
      </c>
    </row>
    <row r="15" spans="1:23" x14ac:dyDescent="0.3">
      <c r="B15" s="6">
        <v>21.84915621</v>
      </c>
      <c r="P15" s="6">
        <v>18.161081289999998</v>
      </c>
      <c r="Q15">
        <f t="shared" si="3"/>
        <v>0.28000000000000003</v>
      </c>
      <c r="R15">
        <f t="shared" si="7"/>
        <v>0.41905004049419592</v>
      </c>
      <c r="S15">
        <f t="shared" si="8"/>
        <v>0.13905004049419589</v>
      </c>
    </row>
    <row r="16" spans="1:23" x14ac:dyDescent="0.3">
      <c r="B16" s="6">
        <v>19.07504389</v>
      </c>
      <c r="P16" s="6">
        <v>18.289399629999998</v>
      </c>
      <c r="Q16">
        <f t="shared" si="3"/>
        <v>0.3</v>
      </c>
      <c r="R16">
        <f t="shared" si="7"/>
        <v>0.42462842892519881</v>
      </c>
      <c r="S16">
        <f t="shared" si="8"/>
        <v>0.12462842892519882</v>
      </c>
    </row>
    <row r="17" spans="2:19" x14ac:dyDescent="0.3">
      <c r="B17" s="6">
        <v>17.50656343</v>
      </c>
      <c r="P17" s="6">
        <v>18.486833870000002</v>
      </c>
      <c r="Q17">
        <f t="shared" si="3"/>
        <v>0.32</v>
      </c>
      <c r="R17">
        <f t="shared" si="7"/>
        <v>0.4332406734827392</v>
      </c>
      <c r="S17">
        <f t="shared" si="8"/>
        <v>0.1132406734827392</v>
      </c>
    </row>
    <row r="18" spans="2:19" x14ac:dyDescent="0.3">
      <c r="B18" s="6">
        <v>21.341049940000001</v>
      </c>
      <c r="P18" s="6">
        <v>18.651412619999999</v>
      </c>
      <c r="Q18">
        <f t="shared" si="3"/>
        <v>0.34</v>
      </c>
      <c r="R18">
        <f t="shared" si="7"/>
        <v>0.44044422495753932</v>
      </c>
      <c r="S18">
        <f t="shared" si="8"/>
        <v>0.1004442249575393</v>
      </c>
    </row>
    <row r="19" spans="2:19" x14ac:dyDescent="0.3">
      <c r="B19" s="6">
        <v>19.835688409999999</v>
      </c>
      <c r="P19" s="6">
        <v>18.755845350000001</v>
      </c>
      <c r="Q19">
        <f t="shared" si="3"/>
        <v>0.36</v>
      </c>
      <c r="R19">
        <f t="shared" si="7"/>
        <v>0.44502560645966505</v>
      </c>
      <c r="S19">
        <f t="shared" si="8"/>
        <v>8.502560645966506E-2</v>
      </c>
    </row>
    <row r="20" spans="2:19" x14ac:dyDescent="0.3">
      <c r="B20" s="6">
        <v>16.144833859999999</v>
      </c>
      <c r="P20" s="6">
        <v>19.03221237</v>
      </c>
      <c r="Q20">
        <f t="shared" si="3"/>
        <v>0.38</v>
      </c>
      <c r="R20">
        <f t="shared" si="7"/>
        <v>0.45718348638867268</v>
      </c>
      <c r="S20">
        <f t="shared" si="8"/>
        <v>7.7183486388672673E-2</v>
      </c>
    </row>
    <row r="21" spans="2:19" x14ac:dyDescent="0.3">
      <c r="B21" s="6">
        <v>17.61256504</v>
      </c>
      <c r="P21" s="6">
        <v>19.07504389</v>
      </c>
      <c r="Q21">
        <f t="shared" si="3"/>
        <v>0.4</v>
      </c>
      <c r="R21">
        <f t="shared" si="7"/>
        <v>0.45907160656719187</v>
      </c>
      <c r="S21">
        <f t="shared" si="8"/>
        <v>5.9071606567191848E-2</v>
      </c>
    </row>
    <row r="22" spans="2:19" x14ac:dyDescent="0.3">
      <c r="B22" s="6">
        <v>18.161081289999998</v>
      </c>
      <c r="P22" s="6">
        <v>19.835688409999999</v>
      </c>
      <c r="Q22">
        <f t="shared" si="3"/>
        <v>0.42</v>
      </c>
      <c r="R22">
        <f t="shared" si="7"/>
        <v>0.49271697787675939</v>
      </c>
      <c r="S22">
        <f t="shared" si="8"/>
        <v>7.2716977876759403E-2</v>
      </c>
    </row>
    <row r="23" spans="2:19" x14ac:dyDescent="0.3">
      <c r="B23" s="6">
        <v>13.481378619999999</v>
      </c>
      <c r="P23" s="6">
        <v>20.281090710000001</v>
      </c>
      <c r="Q23">
        <f t="shared" si="3"/>
        <v>0.44</v>
      </c>
      <c r="R23">
        <f t="shared" si="7"/>
        <v>0.51245786004416383</v>
      </c>
      <c r="S23">
        <f t="shared" si="8"/>
        <v>7.2457860044163824E-2</v>
      </c>
    </row>
    <row r="24" spans="2:19" x14ac:dyDescent="0.3">
      <c r="B24" s="6">
        <v>16.824362820000001</v>
      </c>
      <c r="P24" s="6">
        <v>20.61834271</v>
      </c>
      <c r="Q24">
        <f t="shared" si="3"/>
        <v>0.46</v>
      </c>
      <c r="R24">
        <f t="shared" si="7"/>
        <v>0.52738767963728383</v>
      </c>
      <c r="S24">
        <f t="shared" si="8"/>
        <v>6.7387679637283815E-2</v>
      </c>
    </row>
    <row r="25" spans="2:19" x14ac:dyDescent="0.3">
      <c r="B25" s="6">
        <v>16.03054448</v>
      </c>
      <c r="F25" s="11"/>
      <c r="P25" s="6">
        <v>20.77515665</v>
      </c>
      <c r="Q25">
        <f t="shared" si="3"/>
        <v>0.48</v>
      </c>
      <c r="R25">
        <f t="shared" si="7"/>
        <v>0.53431787258697794</v>
      </c>
      <c r="S25">
        <f t="shared" si="8"/>
        <v>5.4317872586977956E-2</v>
      </c>
    </row>
    <row r="26" spans="2:19" x14ac:dyDescent="0.3">
      <c r="B26" s="6">
        <v>22.458841660000001</v>
      </c>
      <c r="F26" s="11"/>
      <c r="P26" s="6">
        <v>20.97402335</v>
      </c>
      <c r="Q26">
        <f t="shared" si="3"/>
        <v>0.5</v>
      </c>
      <c r="R26">
        <f t="shared" si="7"/>
        <v>0.54309132014193318</v>
      </c>
      <c r="S26">
        <f t="shared" si="8"/>
        <v>4.3091320141933176E-2</v>
      </c>
    </row>
    <row r="27" spans="2:19" x14ac:dyDescent="0.3">
      <c r="B27" s="6">
        <v>23.260799989999999</v>
      </c>
      <c r="F27" s="11"/>
      <c r="P27" s="6">
        <v>20.998983299999999</v>
      </c>
      <c r="Q27">
        <f t="shared" si="3"/>
        <v>0.52</v>
      </c>
      <c r="R27">
        <f t="shared" si="7"/>
        <v>0.54419109092031037</v>
      </c>
      <c r="S27">
        <f t="shared" si="8"/>
        <v>2.4191090920310354E-2</v>
      </c>
    </row>
    <row r="28" spans="2:19" x14ac:dyDescent="0.3">
      <c r="B28" s="6">
        <v>16.716456959999999</v>
      </c>
      <c r="F28" s="11"/>
      <c r="P28" s="6">
        <v>21.341049940000001</v>
      </c>
      <c r="Q28">
        <f t="shared" si="3"/>
        <v>0.54</v>
      </c>
      <c r="R28">
        <f t="shared" si="7"/>
        <v>0.55922537276599893</v>
      </c>
      <c r="S28">
        <f t="shared" si="8"/>
        <v>1.9225372765998894E-2</v>
      </c>
    </row>
    <row r="29" spans="2:19" x14ac:dyDescent="0.3">
      <c r="B29" s="6">
        <v>25.217668790000001</v>
      </c>
      <c r="F29" s="11"/>
      <c r="G29" s="11"/>
      <c r="P29" s="6">
        <v>21.565706500000001</v>
      </c>
      <c r="Q29">
        <f t="shared" si="3"/>
        <v>0.56000000000000005</v>
      </c>
      <c r="R29">
        <f t="shared" si="7"/>
        <v>0.56905445435877933</v>
      </c>
      <c r="S29">
        <f t="shared" si="8"/>
        <v>9.0544543587792736E-3</v>
      </c>
    </row>
    <row r="30" spans="2:19" x14ac:dyDescent="0.3">
      <c r="B30" s="6">
        <v>22.274015290000001</v>
      </c>
      <c r="F30" s="11"/>
      <c r="P30" s="6">
        <v>21.758530740000001</v>
      </c>
      <c r="Q30">
        <f t="shared" si="3"/>
        <v>0.57999999999999996</v>
      </c>
      <c r="R30">
        <f t="shared" si="7"/>
        <v>0.57745707966378623</v>
      </c>
      <c r="S30">
        <f t="shared" si="8"/>
        <v>2.5429203362137276E-3</v>
      </c>
    </row>
    <row r="31" spans="2:19" x14ac:dyDescent="0.3">
      <c r="B31" s="6">
        <v>24.654168609999999</v>
      </c>
      <c r="F31" s="11"/>
      <c r="P31" s="6">
        <v>21.84915621</v>
      </c>
      <c r="Q31">
        <f t="shared" si="3"/>
        <v>0.6</v>
      </c>
      <c r="R31">
        <f t="shared" si="7"/>
        <v>0.58139433014393682</v>
      </c>
      <c r="S31">
        <f t="shared" si="8"/>
        <v>1.8605669856063156E-2</v>
      </c>
    </row>
    <row r="32" spans="2:19" x14ac:dyDescent="0.3">
      <c r="B32" s="6">
        <v>21.992043509999998</v>
      </c>
      <c r="P32" s="6">
        <v>21.992043509999998</v>
      </c>
      <c r="Q32">
        <f t="shared" si="3"/>
        <v>0.62</v>
      </c>
      <c r="R32">
        <f t="shared" si="7"/>
        <v>0.58758543335959001</v>
      </c>
      <c r="S32">
        <f t="shared" si="8"/>
        <v>3.2414566640409981E-2</v>
      </c>
    </row>
    <row r="33" spans="2:19" x14ac:dyDescent="0.3">
      <c r="B33" s="6">
        <v>19.03221237</v>
      </c>
      <c r="P33" s="6">
        <v>22.1663709</v>
      </c>
      <c r="Q33">
        <f t="shared" si="3"/>
        <v>0.64</v>
      </c>
      <c r="R33">
        <f t="shared" si="7"/>
        <v>0.5951092335566065</v>
      </c>
      <c r="S33">
        <f t="shared" si="8"/>
        <v>4.4890766443393515E-2</v>
      </c>
    </row>
    <row r="34" spans="2:19" x14ac:dyDescent="0.3">
      <c r="B34" s="6">
        <v>20.77515665</v>
      </c>
      <c r="P34" s="6">
        <v>22.22281074</v>
      </c>
      <c r="Q34">
        <f t="shared" ref="Q34:Q51" si="9">(ROW(B34)-1)/50</f>
        <v>0.66</v>
      </c>
      <c r="R34">
        <f t="shared" si="7"/>
        <v>0.5975377506770283</v>
      </c>
      <c r="S34">
        <f t="shared" si="8"/>
        <v>6.246224932297173E-2</v>
      </c>
    </row>
    <row r="35" spans="2:19" x14ac:dyDescent="0.3">
      <c r="B35" s="6">
        <v>21.758530740000001</v>
      </c>
      <c r="P35" s="6">
        <v>22.274015290000001</v>
      </c>
      <c r="Q35">
        <f t="shared" si="9"/>
        <v>0.68</v>
      </c>
      <c r="R35">
        <f t="shared" si="7"/>
        <v>0.59973775227688897</v>
      </c>
      <c r="S35">
        <f t="shared" si="8"/>
        <v>8.026224772311108E-2</v>
      </c>
    </row>
    <row r="36" spans="2:19" x14ac:dyDescent="0.3">
      <c r="B36" s="6">
        <v>29.542100090000002</v>
      </c>
      <c r="P36" s="6">
        <v>22.323758959999999</v>
      </c>
      <c r="Q36">
        <f t="shared" si="9"/>
        <v>0.7</v>
      </c>
      <c r="R36">
        <f t="shared" si="7"/>
        <v>0.6018719614994299</v>
      </c>
      <c r="S36">
        <f t="shared" si="8"/>
        <v>9.8128038500570058E-2</v>
      </c>
    </row>
    <row r="37" spans="2:19" x14ac:dyDescent="0.3">
      <c r="B37" s="6">
        <v>22.323758959999999</v>
      </c>
      <c r="P37" s="6">
        <v>22.458841660000001</v>
      </c>
      <c r="Q37">
        <f t="shared" si="9"/>
        <v>0.72</v>
      </c>
      <c r="R37">
        <f t="shared" si="7"/>
        <v>0.60765203902298404</v>
      </c>
      <c r="S37">
        <f t="shared" si="8"/>
        <v>0.11234796097701594</v>
      </c>
    </row>
    <row r="38" spans="2:19" x14ac:dyDescent="0.3">
      <c r="B38" s="6">
        <v>23.199534150000002</v>
      </c>
      <c r="P38" s="6">
        <v>22.652376449999998</v>
      </c>
      <c r="Q38">
        <f t="shared" si="9"/>
        <v>0.74</v>
      </c>
      <c r="R38">
        <f t="shared" si="7"/>
        <v>0.61589171319513936</v>
      </c>
      <c r="S38">
        <f t="shared" si="8"/>
        <v>0.12410828680486063</v>
      </c>
    </row>
    <row r="39" spans="2:19" x14ac:dyDescent="0.3">
      <c r="B39" s="6">
        <v>20.998983299999999</v>
      </c>
      <c r="P39" s="6">
        <v>23.199534150000002</v>
      </c>
      <c r="Q39">
        <f t="shared" si="9"/>
        <v>0.76</v>
      </c>
      <c r="R39">
        <f t="shared" si="7"/>
        <v>0.63889389860700718</v>
      </c>
      <c r="S39">
        <f t="shared" si="8"/>
        <v>0.12110610139299283</v>
      </c>
    </row>
    <row r="40" spans="2:19" x14ac:dyDescent="0.3">
      <c r="B40" s="6">
        <v>24.316689230000001</v>
      </c>
      <c r="P40" s="6">
        <v>23.260799989999999</v>
      </c>
      <c r="Q40">
        <f t="shared" si="9"/>
        <v>0.78</v>
      </c>
      <c r="R40">
        <f t="shared" si="7"/>
        <v>0.64144022160244341</v>
      </c>
      <c r="S40">
        <f t="shared" si="8"/>
        <v>0.13855977839755662</v>
      </c>
    </row>
    <row r="41" spans="2:19" x14ac:dyDescent="0.3">
      <c r="B41" s="6">
        <v>28.636629899999999</v>
      </c>
      <c r="P41" s="6">
        <v>23.509990169999998</v>
      </c>
      <c r="Q41">
        <f t="shared" si="9"/>
        <v>0.8</v>
      </c>
      <c r="R41">
        <f t="shared" si="7"/>
        <v>0.65173132271110357</v>
      </c>
      <c r="S41">
        <f t="shared" si="8"/>
        <v>0.14826867728889648</v>
      </c>
    </row>
    <row r="42" spans="2:19" x14ac:dyDescent="0.3">
      <c r="B42" s="6">
        <v>17.05593154</v>
      </c>
      <c r="P42" s="6">
        <v>24.316689230000001</v>
      </c>
      <c r="Q42">
        <f t="shared" si="9"/>
        <v>0.82</v>
      </c>
      <c r="R42">
        <f t="shared" si="7"/>
        <v>0.68425550455815176</v>
      </c>
      <c r="S42">
        <f t="shared" si="8"/>
        <v>0.13574449544184819</v>
      </c>
    </row>
    <row r="43" spans="2:19" x14ac:dyDescent="0.3">
      <c r="B43" s="6">
        <v>22.22281074</v>
      </c>
      <c r="P43" s="6">
        <v>24.654168609999999</v>
      </c>
      <c r="Q43">
        <f t="shared" si="9"/>
        <v>0.84</v>
      </c>
      <c r="R43">
        <f t="shared" si="7"/>
        <v>0.69746723971222191</v>
      </c>
      <c r="S43">
        <f t="shared" si="8"/>
        <v>0.14253276028777806</v>
      </c>
    </row>
    <row r="44" spans="2:19" x14ac:dyDescent="0.3">
      <c r="B44" s="6">
        <v>26.015341110000001</v>
      </c>
      <c r="P44" s="6">
        <v>24.731407440000002</v>
      </c>
      <c r="Q44">
        <f t="shared" si="9"/>
        <v>0.86</v>
      </c>
      <c r="R44">
        <f t="shared" si="7"/>
        <v>0.70045581592714579</v>
      </c>
      <c r="S44">
        <f t="shared" si="8"/>
        <v>0.1595441840728542</v>
      </c>
    </row>
    <row r="45" spans="2:19" x14ac:dyDescent="0.3">
      <c r="B45" s="6">
        <v>15.603923249999999</v>
      </c>
      <c r="P45" s="6">
        <v>25.217668790000001</v>
      </c>
      <c r="Q45">
        <f t="shared" si="9"/>
        <v>0.88</v>
      </c>
      <c r="R45">
        <f t="shared" si="7"/>
        <v>0.71895534706859332</v>
      </c>
      <c r="S45">
        <f t="shared" si="8"/>
        <v>0.16104465293140668</v>
      </c>
    </row>
    <row r="46" spans="2:19" x14ac:dyDescent="0.3">
      <c r="B46" s="6">
        <v>20.61834271</v>
      </c>
      <c r="P46" s="6">
        <v>26.015341110000001</v>
      </c>
      <c r="Q46">
        <f t="shared" si="9"/>
        <v>0.9</v>
      </c>
      <c r="R46">
        <f t="shared" si="7"/>
        <v>0.74805167369280667</v>
      </c>
      <c r="S46">
        <f t="shared" si="8"/>
        <v>0.15194832630719335</v>
      </c>
    </row>
    <row r="47" spans="2:19" x14ac:dyDescent="0.3">
      <c r="B47" s="6">
        <v>24.731407440000002</v>
      </c>
      <c r="P47" s="6">
        <v>26.38841584</v>
      </c>
      <c r="Q47">
        <f t="shared" si="9"/>
        <v>0.92</v>
      </c>
      <c r="R47">
        <f t="shared" si="7"/>
        <v>0.76109335237757902</v>
      </c>
      <c r="S47">
        <f t="shared" si="8"/>
        <v>0.15890664762242102</v>
      </c>
    </row>
    <row r="48" spans="2:19" x14ac:dyDescent="0.3">
      <c r="B48" s="6">
        <v>26.38841584</v>
      </c>
      <c r="P48" s="6">
        <v>26.924528859999999</v>
      </c>
      <c r="Q48">
        <f t="shared" si="9"/>
        <v>0.94</v>
      </c>
      <c r="R48">
        <f t="shared" si="7"/>
        <v>0.77916971019382653</v>
      </c>
      <c r="S48">
        <f t="shared" si="8"/>
        <v>0.16083028980617342</v>
      </c>
    </row>
    <row r="49" spans="2:19" x14ac:dyDescent="0.3">
      <c r="B49" s="6">
        <v>20.281090710000001</v>
      </c>
      <c r="P49" s="6">
        <v>28.636629899999999</v>
      </c>
      <c r="Q49">
        <f t="shared" si="9"/>
        <v>0.96</v>
      </c>
      <c r="R49">
        <f t="shared" si="7"/>
        <v>0.83137814597508031</v>
      </c>
      <c r="S49">
        <f t="shared" si="8"/>
        <v>0.12862185402491966</v>
      </c>
    </row>
    <row r="50" spans="2:19" x14ac:dyDescent="0.3">
      <c r="B50" s="6">
        <v>28.853771760000001</v>
      </c>
      <c r="P50" s="6">
        <v>28.853771760000001</v>
      </c>
      <c r="Q50">
        <f t="shared" si="9"/>
        <v>0.98</v>
      </c>
      <c r="R50">
        <f t="shared" si="7"/>
        <v>0.83738137004510327</v>
      </c>
      <c r="S50">
        <f t="shared" si="8"/>
        <v>0.14261862995489671</v>
      </c>
    </row>
    <row r="51" spans="2:19" x14ac:dyDescent="0.3">
      <c r="B51" s="6">
        <v>23.509990169999998</v>
      </c>
      <c r="P51" s="6">
        <v>29.542100090000002</v>
      </c>
      <c r="Q51">
        <f t="shared" si="9"/>
        <v>1</v>
      </c>
      <c r="R51">
        <f t="shared" si="7"/>
        <v>0.85548077229409447</v>
      </c>
      <c r="S51">
        <f t="shared" si="8"/>
        <v>0.14451922770590553</v>
      </c>
    </row>
    <row r="52" spans="2:19" x14ac:dyDescent="0.3">
      <c r="B52" s="6">
        <v>18.755845350000001</v>
      </c>
    </row>
  </sheetData>
  <sortState ref="P2:P51">
    <sortCondition ref="P2"/>
  </sortState>
  <mergeCells count="1">
    <mergeCell ref="T4:W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Лист1</vt:lpstr>
      <vt:lpstr>1</vt:lpstr>
      <vt:lpstr>2</vt:lpstr>
      <vt:lpstr>3</vt:lpstr>
      <vt:lpstr>4</vt:lpstr>
      <vt:lpstr>5</vt:lpstr>
      <vt:lpstr>6</vt:lpstr>
      <vt:lpstr>7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</dc:creator>
  <cp:lastModifiedBy>karina</cp:lastModifiedBy>
  <dcterms:created xsi:type="dcterms:W3CDTF">2025-05-14T20:47:00Z</dcterms:created>
  <dcterms:modified xsi:type="dcterms:W3CDTF">2025-11-18T20:19:52Z</dcterms:modified>
</cp:coreProperties>
</file>