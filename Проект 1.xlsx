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ina\Desktop\матстат\"/>
    </mc:Choice>
  </mc:AlternateContent>
  <bookViews>
    <workbookView xWindow="0" yWindow="0" windowWidth="23040" windowHeight="9192"/>
  </bookViews>
  <sheets>
    <sheet name="Лист2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" i="2" a="1"/>
  <c r="J1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2" i="2"/>
  <c r="I1" i="2"/>
  <c r="H2" i="2"/>
  <c r="K2" i="1"/>
  <c r="H1" i="2"/>
  <c r="L1" i="1"/>
  <c r="K1" i="1"/>
  <c r="L2" i="1" l="1"/>
  <c r="L3" i="1" l="1"/>
  <c r="L4" i="1" s="1"/>
  <c r="L5" i="1" s="1"/>
  <c r="L6" i="1" s="1"/>
  <c r="L7" i="1" s="1"/>
  <c r="L8" i="1" s="1"/>
  <c r="M1" i="1" l="1" a="1"/>
  <c r="M1" i="1" s="1"/>
  <c r="C1" i="1" l="1"/>
  <c r="D1" i="1" s="1"/>
  <c r="E2" i="1" s="1"/>
  <c r="E3" i="1" s="1"/>
  <c r="E4" i="1" s="1"/>
  <c r="C2" i="1"/>
  <c r="C3" i="1"/>
  <c r="D3" i="1" s="1"/>
  <c r="C4" i="1"/>
  <c r="D4" i="1" s="1"/>
  <c r="C5" i="1"/>
  <c r="C6" i="1"/>
  <c r="D6" i="1" s="1"/>
  <c r="C7" i="1"/>
  <c r="D7" i="1" s="1"/>
  <c r="C8" i="1"/>
  <c r="D8" i="1" s="1"/>
  <c r="D2" i="1"/>
  <c r="D5" i="1"/>
  <c r="E5" i="1" l="1"/>
  <c r="E6" i="1" s="1"/>
  <c r="E7" i="1" s="1"/>
  <c r="E8" i="1" s="1"/>
</calcChain>
</file>

<file path=xl/sharedStrings.xml><?xml version="1.0" encoding="utf-8"?>
<sst xmlns="http://schemas.openxmlformats.org/spreadsheetml/2006/main" count="39" uniqueCount="21">
  <si>
    <t>2)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</si>
  <si>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</si>
  <si>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</si>
  <si>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</si>
  <si>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</si>
  <si>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</si>
  <si>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</si>
  <si>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</si>
  <si>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</si>
  <si>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</si>
  <si>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</si>
  <si>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</si>
  <si>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</si>
  <si>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</si>
  <si>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</si>
  <si>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Шаг разбиения</t>
  </si>
  <si>
    <t xml:space="preserve">            k =</t>
  </si>
  <si>
    <t>Карман</t>
  </si>
  <si>
    <t>Еще</t>
  </si>
  <si>
    <t>Частота</t>
  </si>
  <si>
    <t xml:space="preserve">           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</si>
</sst>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2" fontId="0" fillId="0" borderId="0" xfId="0" applyNumberFormat="1"/>
    <xf numFmtId="2" fontId="1" fillId="0" borderId="0" xfId="1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0" fontId="0" fillId="2" borderId="0" xfId="0" applyFill="1"/>
    <xf numFmtId="0" fontId="1" fillId="0" borderId="0" xfId="1" applyNumberFormat="1"/>
    <xf numFmtId="0" fontId="1" fillId="0" borderId="0" xfId="1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2611411854768151"/>
          <c:y val="0.26442749343832017"/>
          <c:w val="0.60160022965879267"/>
          <c:h val="0.38656769466316709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Лист2!$L$2:$L$16</c:f>
              <c:strCach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9</c:v>
                </c:pt>
                <c:pt idx="5">
                  <c:v>14</c:v>
                </c:pt>
                <c:pt idx="6">
                  <c:v>18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39</c:v>
                </c:pt>
                <c:pt idx="14">
                  <c:v>Еще</c:v>
                </c:pt>
              </c:strCache>
            </c:strRef>
          </c:cat>
          <c:val>
            <c:numRef>
              <c:f>Лист2!$M$2:$M$16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18</c:v>
                </c:pt>
                <c:pt idx="5">
                  <c:v>19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9-41B1-B693-8151DB6C3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951560"/>
        <c:axId val="608951232"/>
      </c:barChart>
      <c:catAx>
        <c:axId val="608951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08951232"/>
        <c:crosses val="autoZero"/>
        <c:auto val="1"/>
        <c:lblAlgn val="ctr"/>
        <c:lblOffset val="100"/>
        <c:noMultiLvlLbl val="0"/>
      </c:catAx>
      <c:valAx>
        <c:axId val="608951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08951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Лист1!$O$2:$O$9</c:f>
              <c:strCache>
                <c:ptCount val="8"/>
                <c:pt idx="0">
                  <c:v>1,7</c:v>
                </c:pt>
                <c:pt idx="1">
                  <c:v>2,4</c:v>
                </c:pt>
                <c:pt idx="2">
                  <c:v>3,1</c:v>
                </c:pt>
                <c:pt idx="3">
                  <c:v>3,8</c:v>
                </c:pt>
                <c:pt idx="4">
                  <c:v>4,5</c:v>
                </c:pt>
                <c:pt idx="5">
                  <c:v>5,2</c:v>
                </c:pt>
                <c:pt idx="6">
                  <c:v>5,9</c:v>
                </c:pt>
                <c:pt idx="7">
                  <c:v>Еще</c:v>
                </c:pt>
              </c:strCache>
            </c:strRef>
          </c:cat>
          <c:val>
            <c:numRef>
              <c:f>Лист1!$P$2:$P$9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5</c:v>
                </c:pt>
                <c:pt idx="3">
                  <c:v>0</c:v>
                </c:pt>
                <c:pt idx="4">
                  <c:v>10</c:v>
                </c:pt>
                <c:pt idx="5">
                  <c:v>10</c:v>
                </c:pt>
                <c:pt idx="6">
                  <c:v>0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1-4FFD-8404-26FBDC80A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627736"/>
        <c:axId val="589623144"/>
      </c:barChart>
      <c:catAx>
        <c:axId val="589627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9623144"/>
        <c:crosses val="autoZero"/>
        <c:auto val="1"/>
        <c:lblAlgn val="ctr"/>
        <c:lblOffset val="100"/>
        <c:noMultiLvlLbl val="0"/>
      </c:catAx>
      <c:valAx>
        <c:axId val="589623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9627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r>
              <a:rPr lang="ru-RU" baseline="0"/>
              <a:t> частот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Лист1!$B$1:$B$8</c:f>
              <c:numCache>
                <c:formatCode>0.00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Лист1!$D$1:$D$8</c:f>
              <c:numCache>
                <c:formatCode>0.00</c:formatCode>
                <c:ptCount val="8"/>
                <c:pt idx="0">
                  <c:v>0.1</c:v>
                </c:pt>
                <c:pt idx="1">
                  <c:v>0.22</c:v>
                </c:pt>
                <c:pt idx="2">
                  <c:v>0.1</c:v>
                </c:pt>
                <c:pt idx="3">
                  <c:v>0.2</c:v>
                </c:pt>
                <c:pt idx="4">
                  <c:v>0.2</c:v>
                </c:pt>
                <c:pt idx="5">
                  <c:v>0.1</c:v>
                </c:pt>
                <c:pt idx="6">
                  <c:v>0.04</c:v>
                </c:pt>
                <c:pt idx="7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D2-45F4-A5FD-E76FE08FB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089208"/>
        <c:axId val="584776240"/>
      </c:scatterChart>
      <c:valAx>
        <c:axId val="45608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4776240"/>
        <c:crosses val="autoZero"/>
        <c:crossBetween val="midCat"/>
      </c:valAx>
      <c:valAx>
        <c:axId val="58477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089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</xdr:colOff>
      <xdr:row>0</xdr:row>
      <xdr:rowOff>167640</xdr:rowOff>
    </xdr:from>
    <xdr:to>
      <xdr:col>20</xdr:col>
      <xdr:colOff>7620</xdr:colOff>
      <xdr:row>10</xdr:row>
      <xdr:rowOff>167640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22860</xdr:rowOff>
    </xdr:from>
    <xdr:to>
      <xdr:col>24</xdr:col>
      <xdr:colOff>15240</xdr:colOff>
      <xdr:row>12</xdr:row>
      <xdr:rowOff>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9</xdr:row>
      <xdr:rowOff>152400</xdr:rowOff>
    </xdr:from>
    <xdr:to>
      <xdr:col>6</xdr:col>
      <xdr:colOff>586740</xdr:colOff>
      <xdr:row>23</xdr:row>
      <xdr:rowOff>118110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K20" sqref="K20"/>
    </sheetView>
  </sheetViews>
  <sheetFormatPr defaultRowHeight="14.4" x14ac:dyDescent="0.3"/>
  <sheetData>
    <row r="1" spans="1:13" x14ac:dyDescent="0.3">
      <c r="A1" s="10">
        <v>2.8439472063910216</v>
      </c>
      <c r="B1" s="10">
        <v>-2.268558980897069</v>
      </c>
      <c r="D1" s="6" t="s">
        <v>1</v>
      </c>
      <c r="E1" s="6"/>
      <c r="G1" t="s">
        <v>20</v>
      </c>
      <c r="H1">
        <f>ROUNDDOWN(1 + 3.32 * LN(50), 0)</f>
        <v>13</v>
      </c>
      <c r="I1">
        <f>E12</f>
        <v>-2.268558980897069</v>
      </c>
      <c r="J1">
        <f t="array" ref="J1">FREQUENCY(A1:A50,I2:I14)</f>
        <v>1</v>
      </c>
      <c r="L1" s="5" t="s">
        <v>17</v>
      </c>
      <c r="M1" s="5" t="s">
        <v>19</v>
      </c>
    </row>
    <row r="2" spans="1:13" x14ac:dyDescent="0.3">
      <c r="A2" s="10">
        <v>8.4087542038178071</v>
      </c>
      <c r="B2" s="10">
        <v>1.4913284960202873</v>
      </c>
      <c r="D2" s="3"/>
      <c r="E2" s="3"/>
      <c r="G2" t="s">
        <v>15</v>
      </c>
      <c r="H2">
        <f>(E13-E12)/H1</f>
        <v>1.7295846751389594</v>
      </c>
      <c r="I2">
        <f>I1+$H$2</f>
        <v>-0.53897430575810956</v>
      </c>
      <c r="J2">
        <f t="shared" ref="J2:J15" si="0">FREQUENCY(A2:A51,I2:I14)</f>
        <v>1</v>
      </c>
      <c r="L2" s="7">
        <v>1</v>
      </c>
      <c r="M2" s="3">
        <v>1</v>
      </c>
    </row>
    <row r="3" spans="1:13" x14ac:dyDescent="0.3">
      <c r="A3" s="10">
        <v>11.332334017613903</v>
      </c>
      <c r="B3" s="10">
        <v>2.346380844945088</v>
      </c>
      <c r="D3" s="3" t="s">
        <v>2</v>
      </c>
      <c r="E3" s="3">
        <v>8.2217057954112533</v>
      </c>
      <c r="I3">
        <f t="shared" ref="I3:I15" si="1">I2+$H$2</f>
        <v>1.1906103693808499</v>
      </c>
      <c r="J3">
        <f t="shared" si="0"/>
        <v>1</v>
      </c>
      <c r="L3" s="7">
        <v>1</v>
      </c>
      <c r="M3" s="3">
        <v>0</v>
      </c>
    </row>
    <row r="4" spans="1:13" x14ac:dyDescent="0.3">
      <c r="A4" s="10">
        <v>6.5422800818923861</v>
      </c>
      <c r="B4" s="10">
        <v>2.6787647786550224</v>
      </c>
      <c r="D4" s="3" t="s">
        <v>3</v>
      </c>
      <c r="E4" s="3">
        <v>0.54730621418742031</v>
      </c>
      <c r="I4">
        <f t="shared" si="1"/>
        <v>2.9201950445198093</v>
      </c>
      <c r="J4">
        <f t="shared" si="0"/>
        <v>5</v>
      </c>
      <c r="L4" s="7">
        <v>1</v>
      </c>
      <c r="M4" s="3">
        <v>0</v>
      </c>
    </row>
    <row r="5" spans="1:13" x14ac:dyDescent="0.3">
      <c r="A5" s="10">
        <v>14.428344931919128</v>
      </c>
      <c r="B5" s="10">
        <v>2.7396645438857377</v>
      </c>
      <c r="D5" s="3" t="s">
        <v>4</v>
      </c>
      <c r="E5" s="3">
        <v>8.735039975552354</v>
      </c>
      <c r="I5">
        <f t="shared" si="1"/>
        <v>4.6497797196587687</v>
      </c>
      <c r="J5">
        <f t="shared" si="0"/>
        <v>9</v>
      </c>
      <c r="L5" s="7">
        <v>5</v>
      </c>
      <c r="M5" s="3">
        <v>9</v>
      </c>
    </row>
    <row r="6" spans="1:13" x14ac:dyDescent="0.3">
      <c r="A6" s="10">
        <v>2.6787647786550224</v>
      </c>
      <c r="B6" s="10">
        <v>2.8439472063910216</v>
      </c>
      <c r="D6" s="3" t="s">
        <v>5</v>
      </c>
      <c r="E6" s="3">
        <v>8.735039975552354</v>
      </c>
      <c r="I6">
        <f t="shared" si="1"/>
        <v>6.3793643947977277</v>
      </c>
      <c r="J6">
        <f t="shared" si="0"/>
        <v>14</v>
      </c>
      <c r="L6" s="7">
        <v>9</v>
      </c>
      <c r="M6" s="3">
        <v>18</v>
      </c>
    </row>
    <row r="7" spans="1:13" x14ac:dyDescent="0.3">
      <c r="A7" s="10">
        <v>5.6023991621332243</v>
      </c>
      <c r="B7" s="10">
        <v>3.5947441776515916</v>
      </c>
      <c r="D7" s="3" t="s">
        <v>6</v>
      </c>
      <c r="E7" s="3">
        <v>3.8700393543746192</v>
      </c>
      <c r="I7">
        <f t="shared" si="1"/>
        <v>8.1089490699366866</v>
      </c>
      <c r="J7">
        <f t="shared" si="0"/>
        <v>18</v>
      </c>
      <c r="L7" s="7">
        <v>14</v>
      </c>
      <c r="M7" s="3">
        <v>19</v>
      </c>
    </row>
    <row r="8" spans="1:13" x14ac:dyDescent="0.3">
      <c r="A8" s="10">
        <v>6.0501706886570901</v>
      </c>
      <c r="B8" s="10">
        <v>3.9083106659818441</v>
      </c>
      <c r="D8" s="3" t="s">
        <v>7</v>
      </c>
      <c r="E8" s="3">
        <v>14.977204604408319</v>
      </c>
      <c r="I8">
        <f t="shared" si="1"/>
        <v>9.8385337450756456</v>
      </c>
      <c r="J8">
        <f t="shared" si="0"/>
        <v>29</v>
      </c>
      <c r="L8" s="7">
        <v>18</v>
      </c>
      <c r="M8" s="3">
        <v>2</v>
      </c>
    </row>
    <row r="9" spans="1:13" x14ac:dyDescent="0.3">
      <c r="A9" s="10">
        <v>8.9804989531403407</v>
      </c>
      <c r="B9" s="10">
        <v>4.1908633849816397</v>
      </c>
      <c r="D9" s="3" t="s">
        <v>8</v>
      </c>
      <c r="E9" s="3">
        <v>1.3886029756527094</v>
      </c>
      <c r="I9">
        <f t="shared" si="1"/>
        <v>11.568118420214605</v>
      </c>
      <c r="J9">
        <f t="shared" si="0"/>
        <v>37</v>
      </c>
      <c r="L9" s="7">
        <v>29</v>
      </c>
      <c r="M9" s="3">
        <v>1</v>
      </c>
    </row>
    <row r="10" spans="1:13" x14ac:dyDescent="0.3">
      <c r="A10" s="10">
        <v>8.6846221367595717</v>
      </c>
      <c r="B10" s="10">
        <v>4.5559618431143463</v>
      </c>
      <c r="D10" s="3" t="s">
        <v>9</v>
      </c>
      <c r="E10" s="3">
        <v>3.766994261880191E-2</v>
      </c>
      <c r="I10">
        <f t="shared" si="1"/>
        <v>13.297703095353564</v>
      </c>
      <c r="J10">
        <f t="shared" si="0"/>
        <v>39</v>
      </c>
      <c r="L10" s="7">
        <v>36</v>
      </c>
      <c r="M10" s="3">
        <v>0</v>
      </c>
    </row>
    <row r="11" spans="1:13" x14ac:dyDescent="0.3">
      <c r="A11" s="10">
        <v>9.259636519534979</v>
      </c>
      <c r="B11" s="10">
        <v>5.4830370774725452</v>
      </c>
      <c r="D11" s="3" t="s">
        <v>10</v>
      </c>
      <c r="E11" s="3">
        <v>22.484600776806474</v>
      </c>
      <c r="I11">
        <f t="shared" si="1"/>
        <v>15.027287770492523</v>
      </c>
      <c r="J11">
        <f t="shared" si="0"/>
        <v>39</v>
      </c>
      <c r="L11" s="7">
        <v>37</v>
      </c>
      <c r="M11" s="3">
        <v>0</v>
      </c>
    </row>
    <row r="12" spans="1:13" x14ac:dyDescent="0.3">
      <c r="A12" s="10">
        <v>10.556998879299499</v>
      </c>
      <c r="B12" s="10">
        <v>5.6023991621332243</v>
      </c>
      <c r="D12" s="3" t="s">
        <v>11</v>
      </c>
      <c r="E12" s="3">
        <v>-2.268558980897069</v>
      </c>
      <c r="I12">
        <f t="shared" si="1"/>
        <v>16.756872445631483</v>
      </c>
      <c r="J12">
        <f t="shared" si="0"/>
        <v>38</v>
      </c>
      <c r="L12" s="7">
        <v>37</v>
      </c>
      <c r="M12" s="3">
        <v>0</v>
      </c>
    </row>
    <row r="13" spans="1:13" x14ac:dyDescent="0.3">
      <c r="A13" s="10">
        <v>7.8054636307642795</v>
      </c>
      <c r="B13" s="10">
        <v>6.0501706886570901</v>
      </c>
      <c r="D13" s="3" t="s">
        <v>12</v>
      </c>
      <c r="E13" s="3">
        <v>20.216041795909405</v>
      </c>
      <c r="I13">
        <f t="shared" si="1"/>
        <v>18.486457120770442</v>
      </c>
      <c r="J13">
        <f t="shared" si="0"/>
        <v>37</v>
      </c>
      <c r="L13" s="7">
        <v>38</v>
      </c>
      <c r="M13" s="3">
        <v>0</v>
      </c>
    </row>
    <row r="14" spans="1:13" x14ac:dyDescent="0.3">
      <c r="A14" s="10">
        <v>10.026345100603066</v>
      </c>
      <c r="B14" s="10">
        <v>6.3502220857189968</v>
      </c>
      <c r="D14" s="3" t="s">
        <v>13</v>
      </c>
      <c r="E14" s="3">
        <v>411.08528977056267</v>
      </c>
      <c r="I14">
        <f t="shared" si="1"/>
        <v>20.216041795909401</v>
      </c>
      <c r="J14">
        <f t="shared" si="0"/>
        <v>36</v>
      </c>
      <c r="L14" s="7">
        <v>39</v>
      </c>
      <c r="M14" s="3">
        <v>0</v>
      </c>
    </row>
    <row r="15" spans="1:13" ht="15" thickBot="1" x14ac:dyDescent="0.35">
      <c r="A15" s="10">
        <v>3.5947441776515916</v>
      </c>
      <c r="B15" s="10">
        <v>6.3638690537190996</v>
      </c>
      <c r="D15" s="4" t="s">
        <v>14</v>
      </c>
      <c r="E15" s="4">
        <v>50</v>
      </c>
      <c r="I15">
        <f t="shared" si="1"/>
        <v>21.94562647104836</v>
      </c>
      <c r="J15">
        <f t="shared" si="0"/>
        <v>36</v>
      </c>
      <c r="L15" s="7">
        <v>39</v>
      </c>
      <c r="M15" s="3">
        <v>0</v>
      </c>
    </row>
    <row r="16" spans="1:13" ht="15" thickBot="1" x14ac:dyDescent="0.35">
      <c r="A16" s="10">
        <v>12.571802492137067</v>
      </c>
      <c r="B16" s="10">
        <v>6.5422800818923861</v>
      </c>
      <c r="L16" s="4" t="s">
        <v>18</v>
      </c>
      <c r="M16" s="4">
        <v>0</v>
      </c>
    </row>
    <row r="17" spans="1:2" x14ac:dyDescent="0.3">
      <c r="A17" s="10">
        <v>1.4913284960202873</v>
      </c>
      <c r="B17" s="10">
        <v>6.7307091942057014</v>
      </c>
    </row>
    <row r="18" spans="1:2" x14ac:dyDescent="0.3">
      <c r="A18" s="10">
        <v>2.7396645438857377</v>
      </c>
      <c r="B18" s="10">
        <v>7.6087763065588661</v>
      </c>
    </row>
    <row r="19" spans="1:2" x14ac:dyDescent="0.3">
      <c r="A19" s="10">
        <v>7.6803580870619044</v>
      </c>
      <c r="B19" s="10">
        <v>7.6775932231685147</v>
      </c>
    </row>
    <row r="20" spans="1:2" x14ac:dyDescent="0.3">
      <c r="A20" s="10">
        <v>9.4502029443974607</v>
      </c>
      <c r="B20" s="10">
        <v>7.6803580870619044</v>
      </c>
    </row>
    <row r="21" spans="1:2" x14ac:dyDescent="0.3">
      <c r="A21" s="10">
        <v>6.3638690537190996</v>
      </c>
      <c r="B21" s="10">
        <v>7.8054636307642795</v>
      </c>
    </row>
    <row r="22" spans="1:2" x14ac:dyDescent="0.3">
      <c r="A22" s="10">
        <v>10.925480657722801</v>
      </c>
      <c r="B22" s="10">
        <v>8.1807529770303518</v>
      </c>
    </row>
    <row r="23" spans="1:2" x14ac:dyDescent="0.3">
      <c r="A23" s="10">
        <v>12.251933205523528</v>
      </c>
      <c r="B23" s="10">
        <v>8.3135028237011284</v>
      </c>
    </row>
    <row r="24" spans="1:2" x14ac:dyDescent="0.3">
      <c r="A24" s="10">
        <v>3.9083106659818441</v>
      </c>
      <c r="B24" s="10">
        <v>8.4087542038178071</v>
      </c>
    </row>
    <row r="25" spans="1:2" x14ac:dyDescent="0.3">
      <c r="A25" s="10">
        <v>2.346380844945088</v>
      </c>
      <c r="B25" s="10">
        <v>8.6846221367595717</v>
      </c>
    </row>
    <row r="26" spans="1:2" x14ac:dyDescent="0.3">
      <c r="A26" s="10">
        <v>11.99478267354425</v>
      </c>
      <c r="B26" s="10">
        <v>8.7854578143451363</v>
      </c>
    </row>
    <row r="27" spans="1:2" x14ac:dyDescent="0.3">
      <c r="A27" s="10">
        <v>7.6775932231685147</v>
      </c>
      <c r="B27" s="10">
        <v>8.8588995115133002</v>
      </c>
    </row>
    <row r="28" spans="1:2" x14ac:dyDescent="0.3">
      <c r="A28" s="10">
        <v>10.753831722657196</v>
      </c>
      <c r="B28" s="10">
        <v>8.9804989531403407</v>
      </c>
    </row>
    <row r="29" spans="1:2" x14ac:dyDescent="0.3">
      <c r="A29" s="10">
        <v>4.1908633849816397</v>
      </c>
      <c r="B29" s="10">
        <v>9.0449548426549882</v>
      </c>
    </row>
    <row r="30" spans="1:2" x14ac:dyDescent="0.3">
      <c r="A30" s="10">
        <v>5.4830370774725452</v>
      </c>
      <c r="B30" s="10">
        <v>9.2146983863203786</v>
      </c>
    </row>
    <row r="31" spans="1:2" x14ac:dyDescent="0.3">
      <c r="A31" s="10">
        <v>14.460832082666457</v>
      </c>
      <c r="B31" s="10">
        <v>9.259636519534979</v>
      </c>
    </row>
    <row r="32" spans="1:2" x14ac:dyDescent="0.3">
      <c r="A32" s="10">
        <v>8.3135028237011284</v>
      </c>
      <c r="B32" s="10">
        <v>9.4502029443974607</v>
      </c>
    </row>
    <row r="33" spans="1:2" x14ac:dyDescent="0.3">
      <c r="A33" s="10">
        <v>11.509212547214702</v>
      </c>
      <c r="B33" s="10">
        <v>9.6948615666478872</v>
      </c>
    </row>
    <row r="34" spans="1:2" x14ac:dyDescent="0.3">
      <c r="A34" s="10">
        <v>9.0449548426549882</v>
      </c>
      <c r="B34" s="10">
        <v>9.8232867660117336</v>
      </c>
    </row>
    <row r="35" spans="1:2" x14ac:dyDescent="0.3">
      <c r="A35" s="10">
        <v>9.6948615666478872</v>
      </c>
      <c r="B35" s="10">
        <v>10.026345100603066</v>
      </c>
    </row>
    <row r="36" spans="1:2" x14ac:dyDescent="0.3">
      <c r="A36" s="10">
        <v>9.8232867660117336</v>
      </c>
      <c r="B36" s="10">
        <v>10.278893589391373</v>
      </c>
    </row>
    <row r="37" spans="1:2" x14ac:dyDescent="0.3">
      <c r="A37" s="10">
        <v>-2.268558980897069</v>
      </c>
      <c r="B37" s="10">
        <v>10.556998879299499</v>
      </c>
    </row>
    <row r="38" spans="1:2" x14ac:dyDescent="0.3">
      <c r="A38" s="10">
        <v>8.7854578143451363</v>
      </c>
      <c r="B38" s="10">
        <v>10.696324372664094</v>
      </c>
    </row>
    <row r="39" spans="1:2" x14ac:dyDescent="0.3">
      <c r="A39" s="10">
        <v>10.278893589391373</v>
      </c>
      <c r="B39" s="10">
        <v>10.753831722657196</v>
      </c>
    </row>
    <row r="40" spans="1:2" x14ac:dyDescent="0.3">
      <c r="A40" s="10">
        <v>9.2146983863203786</v>
      </c>
      <c r="B40" s="10">
        <v>10.925480657722801</v>
      </c>
    </row>
    <row r="41" spans="1:2" x14ac:dyDescent="0.3">
      <c r="A41" s="10">
        <v>11.431641744100489</v>
      </c>
      <c r="B41" s="10">
        <v>10.974074959638529</v>
      </c>
    </row>
    <row r="42" spans="1:2" x14ac:dyDescent="0.3">
      <c r="A42" s="10">
        <v>8.1807529770303518</v>
      </c>
      <c r="B42" s="10">
        <v>11.332334017613903</v>
      </c>
    </row>
    <row r="43" spans="1:2" x14ac:dyDescent="0.3">
      <c r="A43" s="10">
        <v>4.5559618431143463</v>
      </c>
      <c r="B43" s="10">
        <v>11.431641744100489</v>
      </c>
    </row>
    <row r="44" spans="1:2" x14ac:dyDescent="0.3">
      <c r="A44" s="10">
        <v>6.3502220857189968</v>
      </c>
      <c r="B44" s="10">
        <v>11.509212547214702</v>
      </c>
    </row>
    <row r="45" spans="1:2" x14ac:dyDescent="0.3">
      <c r="A45" s="10">
        <v>20.216041795909405</v>
      </c>
      <c r="B45" s="10">
        <v>11.99478267354425</v>
      </c>
    </row>
    <row r="46" spans="1:2" x14ac:dyDescent="0.3">
      <c r="A46" s="10">
        <v>6.7307091942057014</v>
      </c>
      <c r="B46" s="10">
        <v>12.251933205523528</v>
      </c>
    </row>
    <row r="47" spans="1:2" x14ac:dyDescent="0.3">
      <c r="A47" s="10">
        <v>10.974074959638529</v>
      </c>
      <c r="B47" s="10">
        <v>12.571802492137067</v>
      </c>
    </row>
    <row r="48" spans="1:2" x14ac:dyDescent="0.3">
      <c r="A48" s="10">
        <v>10.696324372664094</v>
      </c>
      <c r="B48" s="10">
        <v>14.428344931919128</v>
      </c>
    </row>
    <row r="49" spans="1:2" x14ac:dyDescent="0.3">
      <c r="A49" s="10">
        <v>8.8588995115133002</v>
      </c>
      <c r="B49" s="10">
        <v>14.460832082666457</v>
      </c>
    </row>
    <row r="50" spans="1:2" x14ac:dyDescent="0.3">
      <c r="A50" s="10">
        <v>7.6087763065588661</v>
      </c>
      <c r="B50" s="10">
        <v>20.216041795909405</v>
      </c>
    </row>
  </sheetData>
  <sortState ref="L2:L15">
    <sortCondition ref="L2"/>
  </sortState>
  <pageMargins left="0.7" right="0.7" top="0.75" bottom="0.75" header="0.3" footer="0.3"/>
  <pageSetup paperSize="9" orientation="portrait" r:id="rId1"/>
  <ignoredErrors>
    <ignoredError sqref="J2:J15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workbookViewId="0">
      <selection activeCell="J22" sqref="J22"/>
    </sheetView>
  </sheetViews>
  <sheetFormatPr defaultRowHeight="14.4" x14ac:dyDescent="0.3"/>
  <cols>
    <col min="1" max="1" width="7.77734375" style="1" customWidth="1"/>
    <col min="2" max="5" width="8.88671875" style="1"/>
  </cols>
  <sheetData>
    <row r="1" spans="1:26" ht="15" thickBot="1" x14ac:dyDescent="0.35">
      <c r="A1" s="2">
        <v>1</v>
      </c>
      <c r="B1" s="2">
        <v>1</v>
      </c>
      <c r="C1" s="1">
        <f>COUNTIF($A$1:$A$50, B1)</f>
        <v>5</v>
      </c>
      <c r="D1" s="1">
        <f>C1/50</f>
        <v>0.1</v>
      </c>
      <c r="E1" s="1">
        <v>0</v>
      </c>
      <c r="G1" s="8" t="s">
        <v>0</v>
      </c>
      <c r="H1" s="6" t="s">
        <v>1</v>
      </c>
      <c r="I1" s="6"/>
      <c r="J1" t="s">
        <v>16</v>
      </c>
      <c r="K1">
        <f>ROUNDDOWN(1+3.32*LN(20), 0)</f>
        <v>10</v>
      </c>
      <c r="L1" s="4">
        <f>I12</f>
        <v>1</v>
      </c>
      <c r="M1" s="4">
        <f t="array" ref="M1">FREQUENCY(A1:A50,L2:L9)</f>
        <v>5</v>
      </c>
      <c r="O1" s="5" t="s">
        <v>17</v>
      </c>
      <c r="P1" s="5" t="s">
        <v>19</v>
      </c>
      <c r="Z1" s="9"/>
    </row>
    <row r="2" spans="1:26" x14ac:dyDescent="0.3">
      <c r="A2" s="2">
        <v>4</v>
      </c>
      <c r="B2" s="2">
        <v>2</v>
      </c>
      <c r="C2" s="1">
        <f t="shared" ref="C2:C8" si="0">COUNTIF($A$1:$A$50, B2)</f>
        <v>11</v>
      </c>
      <c r="D2" s="1">
        <f t="shared" ref="D2:D8" si="1">C2/50</f>
        <v>0.22</v>
      </c>
      <c r="E2" s="1">
        <f>D1</f>
        <v>0.1</v>
      </c>
      <c r="H2" s="3"/>
      <c r="I2" s="3"/>
      <c r="J2" t="s">
        <v>15</v>
      </c>
      <c r="K2">
        <f>(I13-I12)/K1</f>
        <v>0.7</v>
      </c>
      <c r="L2">
        <f>L1+$K$2</f>
        <v>1.7</v>
      </c>
      <c r="O2" s="7">
        <v>1.7</v>
      </c>
      <c r="P2" s="3">
        <v>5</v>
      </c>
      <c r="Z2" s="9"/>
    </row>
    <row r="3" spans="1:26" x14ac:dyDescent="0.3">
      <c r="A3" s="2">
        <v>3</v>
      </c>
      <c r="B3" s="2">
        <v>3</v>
      </c>
      <c r="C3" s="1">
        <f t="shared" si="0"/>
        <v>5</v>
      </c>
      <c r="D3" s="1">
        <f t="shared" si="1"/>
        <v>0.1</v>
      </c>
      <c r="E3" s="1">
        <f>E2 + D2</f>
        <v>0.32</v>
      </c>
      <c r="H3" s="3" t="s">
        <v>2</v>
      </c>
      <c r="I3" s="3">
        <v>3.84</v>
      </c>
      <c r="L3">
        <f t="shared" ref="L3:L8" si="2">L2+$K$2</f>
        <v>2.4</v>
      </c>
      <c r="O3" s="7">
        <v>2.4</v>
      </c>
      <c r="P3" s="3">
        <v>11</v>
      </c>
      <c r="Z3" s="9"/>
    </row>
    <row r="4" spans="1:26" x14ac:dyDescent="0.3">
      <c r="A4" s="2">
        <v>5</v>
      </c>
      <c r="B4" s="2">
        <v>4</v>
      </c>
      <c r="C4" s="1">
        <f t="shared" si="0"/>
        <v>10</v>
      </c>
      <c r="D4" s="1">
        <f t="shared" si="1"/>
        <v>0.2</v>
      </c>
      <c r="E4" s="1">
        <f t="shared" ref="E4:E8" si="3">E3 + D3</f>
        <v>0.42000000000000004</v>
      </c>
      <c r="H4" s="3" t="s">
        <v>3</v>
      </c>
      <c r="I4" s="3">
        <v>0.26551451783974728</v>
      </c>
      <c r="L4">
        <f t="shared" si="2"/>
        <v>3.0999999999999996</v>
      </c>
      <c r="O4" s="7">
        <v>3.0999999999999996</v>
      </c>
      <c r="P4" s="3">
        <v>5</v>
      </c>
      <c r="Z4" s="9"/>
    </row>
    <row r="5" spans="1:26" x14ac:dyDescent="0.3">
      <c r="A5" s="2">
        <v>4</v>
      </c>
      <c r="B5" s="2">
        <v>5</v>
      </c>
      <c r="C5" s="1">
        <f t="shared" si="0"/>
        <v>10</v>
      </c>
      <c r="D5" s="1">
        <f t="shared" si="1"/>
        <v>0.2</v>
      </c>
      <c r="E5" s="1">
        <f t="shared" si="3"/>
        <v>0.62000000000000011</v>
      </c>
      <c r="H5" s="3" t="s">
        <v>4</v>
      </c>
      <c r="I5" s="3">
        <v>4</v>
      </c>
      <c r="L5">
        <f t="shared" si="2"/>
        <v>3.8</v>
      </c>
      <c r="M5" s="3"/>
      <c r="O5" s="7">
        <v>3.8</v>
      </c>
      <c r="P5" s="3">
        <v>0</v>
      </c>
      <c r="Z5" s="9"/>
    </row>
    <row r="6" spans="1:26" x14ac:dyDescent="0.3">
      <c r="A6" s="2">
        <v>4</v>
      </c>
      <c r="B6" s="2">
        <v>6</v>
      </c>
      <c r="C6" s="1">
        <f t="shared" si="0"/>
        <v>5</v>
      </c>
      <c r="D6" s="1">
        <f t="shared" si="1"/>
        <v>0.1</v>
      </c>
      <c r="E6" s="1">
        <f t="shared" si="3"/>
        <v>0.82000000000000006</v>
      </c>
      <c r="H6" s="3" t="s">
        <v>5</v>
      </c>
      <c r="I6" s="3">
        <v>2</v>
      </c>
      <c r="L6">
        <f t="shared" si="2"/>
        <v>4.5</v>
      </c>
      <c r="M6" s="3"/>
      <c r="O6" s="7">
        <v>4.5</v>
      </c>
      <c r="P6" s="3">
        <v>10</v>
      </c>
      <c r="Z6" s="9"/>
    </row>
    <row r="7" spans="1:26" x14ac:dyDescent="0.3">
      <c r="A7" s="2">
        <v>4</v>
      </c>
      <c r="B7" s="2">
        <v>7</v>
      </c>
      <c r="C7" s="1">
        <f t="shared" si="0"/>
        <v>2</v>
      </c>
      <c r="D7" s="1">
        <f t="shared" si="1"/>
        <v>0.04</v>
      </c>
      <c r="E7" s="1">
        <f t="shared" si="3"/>
        <v>0.92</v>
      </c>
      <c r="H7" s="3" t="s">
        <v>6</v>
      </c>
      <c r="I7" s="3">
        <v>1.8774711606796186</v>
      </c>
      <c r="L7">
        <f t="shared" si="2"/>
        <v>5.2</v>
      </c>
      <c r="M7" s="3"/>
      <c r="O7" s="7">
        <v>5.2</v>
      </c>
      <c r="P7" s="3">
        <v>10</v>
      </c>
      <c r="Z7" s="9"/>
    </row>
    <row r="8" spans="1:26" x14ac:dyDescent="0.3">
      <c r="A8" s="2">
        <v>5</v>
      </c>
      <c r="B8" s="2">
        <v>8</v>
      </c>
      <c r="C8" s="1">
        <f t="shared" si="0"/>
        <v>2</v>
      </c>
      <c r="D8" s="1">
        <f t="shared" si="1"/>
        <v>0.04</v>
      </c>
      <c r="E8" s="1">
        <f t="shared" si="3"/>
        <v>0.96000000000000008</v>
      </c>
      <c r="H8" s="3" t="s">
        <v>7</v>
      </c>
      <c r="I8" s="3">
        <v>3.524897959183674</v>
      </c>
      <c r="L8">
        <f t="shared" si="2"/>
        <v>5.9</v>
      </c>
      <c r="M8" s="3"/>
      <c r="O8" s="7">
        <v>5.9</v>
      </c>
      <c r="P8" s="3">
        <v>0</v>
      </c>
      <c r="Z8" s="9"/>
    </row>
    <row r="9" spans="1:26" ht="15" thickBot="1" x14ac:dyDescent="0.35">
      <c r="A9" s="2">
        <v>4</v>
      </c>
      <c r="H9" s="3" t="s">
        <v>8</v>
      </c>
      <c r="I9" s="3">
        <v>-0.63225649761687386</v>
      </c>
      <c r="L9" s="3"/>
      <c r="M9" s="3"/>
      <c r="O9" s="4" t="s">
        <v>18</v>
      </c>
      <c r="P9" s="4">
        <v>9</v>
      </c>
      <c r="Z9" s="9"/>
    </row>
    <row r="10" spans="1:26" x14ac:dyDescent="0.3">
      <c r="A10" s="2">
        <v>1</v>
      </c>
      <c r="H10" s="3" t="s">
        <v>9</v>
      </c>
      <c r="I10" s="3">
        <v>0.27982265372984949</v>
      </c>
      <c r="L10" s="3"/>
      <c r="M10" s="3"/>
      <c r="Z10" s="9"/>
    </row>
    <row r="11" spans="1:26" x14ac:dyDescent="0.3">
      <c r="A11" s="2">
        <v>5</v>
      </c>
      <c r="H11" s="3" t="s">
        <v>10</v>
      </c>
      <c r="I11" s="3">
        <v>7</v>
      </c>
      <c r="L11" s="3"/>
      <c r="M11" s="3"/>
      <c r="Z11" s="9"/>
    </row>
    <row r="12" spans="1:26" x14ac:dyDescent="0.3">
      <c r="A12" s="2">
        <v>5</v>
      </c>
      <c r="H12" s="3" t="s">
        <v>11</v>
      </c>
      <c r="I12" s="3">
        <v>1</v>
      </c>
      <c r="L12" s="3"/>
      <c r="M12" s="3"/>
      <c r="Z12" s="9"/>
    </row>
    <row r="13" spans="1:26" x14ac:dyDescent="0.3">
      <c r="A13" s="2">
        <v>3</v>
      </c>
      <c r="H13" s="3" t="s">
        <v>12</v>
      </c>
      <c r="I13" s="3">
        <v>8</v>
      </c>
      <c r="L13" s="3"/>
      <c r="M13" s="3"/>
      <c r="Z13" s="9"/>
    </row>
    <row r="14" spans="1:26" x14ac:dyDescent="0.3">
      <c r="A14" s="2">
        <v>5</v>
      </c>
      <c r="H14" s="3" t="s">
        <v>13</v>
      </c>
      <c r="I14" s="3">
        <v>192</v>
      </c>
      <c r="L14" s="3"/>
      <c r="M14" s="3"/>
      <c r="Z14" s="9"/>
    </row>
    <row r="15" spans="1:26" ht="15" thickBot="1" x14ac:dyDescent="0.35">
      <c r="A15" s="2">
        <v>6</v>
      </c>
      <c r="H15" s="4" t="s">
        <v>14</v>
      </c>
      <c r="I15" s="4">
        <v>50</v>
      </c>
      <c r="Z15" s="9"/>
    </row>
    <row r="16" spans="1:26" x14ac:dyDescent="0.3">
      <c r="A16" s="2">
        <v>5</v>
      </c>
      <c r="Z16" s="9"/>
    </row>
    <row r="17" spans="1:26" x14ac:dyDescent="0.3">
      <c r="A17" s="2">
        <v>4</v>
      </c>
      <c r="Z17" s="9"/>
    </row>
    <row r="18" spans="1:26" x14ac:dyDescent="0.3">
      <c r="A18" s="2">
        <v>6</v>
      </c>
      <c r="Z18" s="9"/>
    </row>
    <row r="19" spans="1:26" x14ac:dyDescent="0.3">
      <c r="A19" s="2">
        <v>7</v>
      </c>
      <c r="Z19" s="9"/>
    </row>
    <row r="20" spans="1:26" x14ac:dyDescent="0.3">
      <c r="A20" s="2">
        <v>3</v>
      </c>
      <c r="Z20" s="9"/>
    </row>
    <row r="21" spans="1:26" x14ac:dyDescent="0.3">
      <c r="A21" s="2">
        <v>6</v>
      </c>
      <c r="Z21" s="9"/>
    </row>
    <row r="22" spans="1:26" x14ac:dyDescent="0.3">
      <c r="A22" s="2">
        <v>2</v>
      </c>
      <c r="Z22" s="9"/>
    </row>
    <row r="23" spans="1:26" x14ac:dyDescent="0.3">
      <c r="A23" s="2">
        <v>2</v>
      </c>
      <c r="Z23" s="9"/>
    </row>
    <row r="24" spans="1:26" x14ac:dyDescent="0.3">
      <c r="A24" s="2">
        <v>4</v>
      </c>
      <c r="Z24" s="9"/>
    </row>
    <row r="25" spans="1:26" x14ac:dyDescent="0.3">
      <c r="A25" s="2">
        <v>2</v>
      </c>
      <c r="Z25" s="9"/>
    </row>
    <row r="26" spans="1:26" x14ac:dyDescent="0.3">
      <c r="A26" s="2">
        <v>5</v>
      </c>
      <c r="Z26" s="9"/>
    </row>
    <row r="27" spans="1:26" x14ac:dyDescent="0.3">
      <c r="A27" s="2">
        <v>1</v>
      </c>
      <c r="Z27" s="9"/>
    </row>
    <row r="28" spans="1:26" x14ac:dyDescent="0.3">
      <c r="A28" s="2">
        <v>5</v>
      </c>
      <c r="Z28" s="9"/>
    </row>
    <row r="29" spans="1:26" x14ac:dyDescent="0.3">
      <c r="A29" s="2">
        <v>6</v>
      </c>
      <c r="Z29" s="9"/>
    </row>
    <row r="30" spans="1:26" x14ac:dyDescent="0.3">
      <c r="A30" s="2">
        <v>1</v>
      </c>
      <c r="Z30" s="9"/>
    </row>
    <row r="31" spans="1:26" x14ac:dyDescent="0.3">
      <c r="A31" s="2">
        <v>2</v>
      </c>
      <c r="Z31" s="9"/>
    </row>
    <row r="32" spans="1:26" x14ac:dyDescent="0.3">
      <c r="A32" s="2">
        <v>4</v>
      </c>
      <c r="Z32" s="9"/>
    </row>
    <row r="33" spans="1:26" x14ac:dyDescent="0.3">
      <c r="A33" s="2">
        <v>3</v>
      </c>
      <c r="Z33" s="9"/>
    </row>
    <row r="34" spans="1:26" x14ac:dyDescent="0.3">
      <c r="A34" s="2">
        <v>2</v>
      </c>
      <c r="Z34" s="9"/>
    </row>
    <row r="35" spans="1:26" x14ac:dyDescent="0.3">
      <c r="A35" s="2">
        <v>1</v>
      </c>
      <c r="Z35" s="9"/>
    </row>
    <row r="36" spans="1:26" x14ac:dyDescent="0.3">
      <c r="A36" s="2">
        <v>8</v>
      </c>
      <c r="Z36" s="9"/>
    </row>
    <row r="37" spans="1:26" x14ac:dyDescent="0.3">
      <c r="A37" s="2">
        <v>2</v>
      </c>
      <c r="Z37" s="9"/>
    </row>
    <row r="38" spans="1:26" x14ac:dyDescent="0.3">
      <c r="A38" s="2">
        <v>2</v>
      </c>
      <c r="Z38" s="9"/>
    </row>
    <row r="39" spans="1:26" x14ac:dyDescent="0.3">
      <c r="A39" s="2">
        <v>4</v>
      </c>
      <c r="Z39" s="9"/>
    </row>
    <row r="40" spans="1:26" x14ac:dyDescent="0.3">
      <c r="A40" s="2">
        <v>2</v>
      </c>
      <c r="Z40" s="9"/>
    </row>
    <row r="41" spans="1:26" x14ac:dyDescent="0.3">
      <c r="A41" s="2">
        <v>7</v>
      </c>
      <c r="Z41" s="9"/>
    </row>
    <row r="42" spans="1:26" x14ac:dyDescent="0.3">
      <c r="A42" s="2">
        <v>5</v>
      </c>
      <c r="Z42" s="9"/>
    </row>
    <row r="43" spans="1:26" x14ac:dyDescent="0.3">
      <c r="A43" s="2">
        <v>2</v>
      </c>
      <c r="Z43" s="9"/>
    </row>
    <row r="44" spans="1:26" x14ac:dyDescent="0.3">
      <c r="A44" s="2">
        <v>6</v>
      </c>
      <c r="Z44" s="9"/>
    </row>
    <row r="45" spans="1:26" x14ac:dyDescent="0.3">
      <c r="A45" s="2">
        <v>2</v>
      </c>
      <c r="Z45" s="9"/>
    </row>
    <row r="46" spans="1:26" x14ac:dyDescent="0.3">
      <c r="A46" s="2">
        <v>8</v>
      </c>
      <c r="Z46" s="9"/>
    </row>
    <row r="47" spans="1:26" x14ac:dyDescent="0.3">
      <c r="A47" s="2">
        <v>2</v>
      </c>
      <c r="Z47" s="9"/>
    </row>
    <row r="48" spans="1:26" x14ac:dyDescent="0.3">
      <c r="A48" s="2">
        <v>3</v>
      </c>
      <c r="Z48" s="9"/>
    </row>
    <row r="49" spans="1:26" x14ac:dyDescent="0.3">
      <c r="A49" s="2">
        <v>5</v>
      </c>
      <c r="Z49" s="9"/>
    </row>
    <row r="50" spans="1:26" x14ac:dyDescent="0.3">
      <c r="A50" s="2">
        <v>4</v>
      </c>
      <c r="Z50" s="9"/>
    </row>
    <row r="51" spans="1:26" x14ac:dyDescent="0.3">
      <c r="A51" s="2"/>
    </row>
  </sheetData>
  <sortState ref="B1:B51">
    <sortCondition ref="B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2025-03-18T07:49:09Z</dcterms:created>
  <dcterms:modified xsi:type="dcterms:W3CDTF">2025-11-18T20:15:04Z</dcterms:modified>
</cp:coreProperties>
</file>