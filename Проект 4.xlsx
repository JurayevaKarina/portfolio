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ina\Desktop\матстат\"/>
    </mc:Choice>
  </mc:AlternateContent>
  <bookViews>
    <workbookView xWindow="0" yWindow="0" windowWidth="23040" windowHeight="9192" activeTab="4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5" l="1"/>
  <c r="J2" i="4"/>
  <c r="Q2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" i="5"/>
  <c r="P5" i="5"/>
  <c r="P6" i="5"/>
  <c r="P7" i="5"/>
  <c r="P3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2" i="5"/>
  <c r="L2" i="5"/>
  <c r="K2" i="5"/>
  <c r="J3" i="5"/>
  <c r="J4" i="5"/>
  <c r="J5" i="5"/>
  <c r="J6" i="5"/>
  <c r="J7" i="5"/>
  <c r="J8" i="5"/>
  <c r="J2" i="5"/>
  <c r="I3" i="5"/>
  <c r="I4" i="5"/>
  <c r="I5" i="5"/>
  <c r="I6" i="5"/>
  <c r="I7" i="5"/>
  <c r="I8" i="5"/>
  <c r="I2" i="5"/>
  <c r="H3" i="5"/>
  <c r="H4" i="5"/>
  <c r="H5" i="5"/>
  <c r="H6" i="5"/>
  <c r="H7" i="5"/>
  <c r="H8" i="5"/>
  <c r="H2" i="5"/>
  <c r="G8" i="5"/>
  <c r="G7" i="5"/>
  <c r="G4" i="5"/>
  <c r="G5" i="5" s="1"/>
  <c r="G6" i="5" s="1"/>
  <c r="G3" i="5"/>
  <c r="F3" i="5"/>
  <c r="G2" i="5"/>
  <c r="F2" i="5"/>
  <c r="D2" i="5"/>
  <c r="E2" i="5"/>
  <c r="C2" i="5"/>
  <c r="B2" i="5"/>
  <c r="K2" i="4"/>
  <c r="I5" i="4"/>
  <c r="I6" i="4"/>
  <c r="I7" i="4"/>
  <c r="H6" i="4"/>
  <c r="H5" i="4"/>
  <c r="H2" i="4"/>
  <c r="H3" i="4"/>
  <c r="G2" i="4" a="1"/>
  <c r="G2" i="4" s="1"/>
  <c r="G6" i="4" l="1"/>
  <c r="G5" i="4"/>
  <c r="G4" i="4"/>
  <c r="G8" i="4"/>
  <c r="G7" i="4"/>
  <c r="G3" i="4"/>
  <c r="G9" i="4"/>
  <c r="D4" i="4"/>
  <c r="H7" i="4"/>
  <c r="H4" i="4"/>
  <c r="F8" i="4"/>
  <c r="F3" i="4"/>
  <c r="F4" i="4" s="1"/>
  <c r="F5" i="4" s="1"/>
  <c r="F6" i="4" s="1"/>
  <c r="F7" i="4" s="1"/>
  <c r="F2" i="4"/>
  <c r="E2" i="4"/>
  <c r="D2" i="4"/>
  <c r="C2" i="4"/>
  <c r="B2" i="4"/>
  <c r="I4" i="4" l="1"/>
  <c r="I2" i="4"/>
  <c r="I3" i="4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2" i="3"/>
  <c r="R6" i="3"/>
  <c r="R3" i="3"/>
  <c r="R4" i="3"/>
  <c r="R5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2" i="3"/>
  <c r="O40" i="3"/>
  <c r="O41" i="3"/>
  <c r="O29" i="3"/>
  <c r="O30" i="3"/>
  <c r="O31" i="3"/>
  <c r="O32" i="3"/>
  <c r="O33" i="3"/>
  <c r="O34" i="3"/>
  <c r="O35" i="3"/>
  <c r="O36" i="3"/>
  <c r="O37" i="3"/>
  <c r="O38" i="3"/>
  <c r="O39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3" i="3"/>
  <c r="O4" i="3"/>
  <c r="O5" i="3"/>
  <c r="O6" i="3"/>
  <c r="O2" i="3"/>
  <c r="G2" i="3"/>
  <c r="F2" i="3"/>
  <c r="D2" i="3"/>
  <c r="E3" i="3" s="1"/>
  <c r="E2" i="3"/>
  <c r="C2" i="3"/>
  <c r="B2" i="3"/>
  <c r="L2" i="2"/>
  <c r="K7" i="2"/>
  <c r="K5" i="2"/>
  <c r="K6" i="2"/>
  <c r="K4" i="2"/>
  <c r="K3" i="2"/>
  <c r="K2" i="2"/>
  <c r="E5" i="2"/>
  <c r="G5" i="2" s="1"/>
  <c r="J3" i="2"/>
  <c r="J2" i="2"/>
  <c r="I3" i="2"/>
  <c r="I2" i="2"/>
  <c r="G3" i="2"/>
  <c r="G4" i="2"/>
  <c r="G6" i="2"/>
  <c r="G7" i="2"/>
  <c r="G8" i="2"/>
  <c r="G9" i="2"/>
  <c r="G10" i="2"/>
  <c r="G11" i="2"/>
  <c r="G2" i="2"/>
  <c r="E3" i="2"/>
  <c r="E4" i="2"/>
  <c r="E6" i="2"/>
  <c r="E7" i="2"/>
  <c r="E8" i="2"/>
  <c r="E9" i="2"/>
  <c r="E10" i="2"/>
  <c r="E11" i="2"/>
  <c r="E2" i="2"/>
  <c r="F2" i="2"/>
  <c r="D2" i="2"/>
  <c r="C12" i="2"/>
  <c r="C11" i="2"/>
  <c r="C3" i="2"/>
  <c r="C4" i="2"/>
  <c r="C5" i="2"/>
  <c r="C6" i="2"/>
  <c r="C7" i="2"/>
  <c r="C8" i="2"/>
  <c r="C9" i="2"/>
  <c r="C10" i="2"/>
  <c r="C2" i="2"/>
  <c r="N1" i="1"/>
  <c r="M5" i="1"/>
  <c r="M4" i="1"/>
  <c r="M3" i="1"/>
  <c r="K3" i="1"/>
  <c r="J3" i="1"/>
  <c r="K4" i="1"/>
  <c r="J4" i="1"/>
  <c r="E4" i="3" l="1"/>
  <c r="F17" i="1"/>
  <c r="M2" i="1"/>
  <c r="K2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C2" i="1"/>
  <c r="G16" i="1"/>
  <c r="G15" i="1"/>
  <c r="G14" i="1"/>
  <c r="G12" i="1"/>
  <c r="G13" i="1"/>
  <c r="G11" i="1"/>
  <c r="G10" i="1"/>
  <c r="G9" i="1"/>
  <c r="G8" i="1"/>
  <c r="G7" i="1"/>
  <c r="G5" i="1"/>
  <c r="G4" i="1"/>
  <c r="G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B4" i="1"/>
  <c r="E5" i="3" l="1"/>
  <c r="F3" i="3"/>
  <c r="C3" i="1"/>
  <c r="B2" i="1"/>
  <c r="E6" i="3" l="1"/>
  <c r="F4" i="3"/>
  <c r="E7" i="3" l="1"/>
  <c r="F5" i="3"/>
  <c r="E8" i="3" l="1"/>
  <c r="F7" i="3" s="1"/>
  <c r="F8" i="3" s="1"/>
  <c r="F6" i="3"/>
</calcChain>
</file>

<file path=xl/sharedStrings.xml><?xml version="1.0" encoding="utf-8"?>
<sst xmlns="http://schemas.openxmlformats.org/spreadsheetml/2006/main" count="76" uniqueCount="70">
  <si>
    <t>X1(N=40)</t>
  </si>
  <si>
    <t>Max знач(n)</t>
  </si>
  <si>
    <t>Min знач</t>
  </si>
  <si>
    <t>Таблица частот</t>
  </si>
  <si>
    <t xml:space="preserve">              k</t>
  </si>
  <si>
    <t>Сред ариф</t>
  </si>
  <si>
    <t xml:space="preserve">         N</t>
  </si>
  <si>
    <t>теор частота</t>
  </si>
  <si>
    <t>Наблюд част</t>
  </si>
  <si>
    <t>Объедин</t>
  </si>
  <si>
    <t>Новая теор частота</t>
  </si>
  <si>
    <t>Нов наб част</t>
  </si>
  <si>
    <t>21-25</t>
  </si>
  <si>
    <t>30-35</t>
  </si>
  <si>
    <t>Расчет статистики</t>
  </si>
  <si>
    <t>26-29</t>
  </si>
  <si>
    <t xml:space="preserve"> χ² &lt; 3.841- гипотеза принимается</t>
  </si>
  <si>
    <t xml:space="preserve">       k</t>
  </si>
  <si>
    <t xml:space="preserve">     X2</t>
  </si>
  <si>
    <t xml:space="preserve">      O_i</t>
  </si>
  <si>
    <t>L</t>
  </si>
  <si>
    <t>P(k)</t>
  </si>
  <si>
    <t>Диспер</t>
  </si>
  <si>
    <t>P(k) * N</t>
  </si>
  <si>
    <t>Объед интер</t>
  </si>
  <si>
    <t>Нов наб частот</t>
  </si>
  <si>
    <t>Нов теор част</t>
  </si>
  <si>
    <t>Расчет стат</t>
  </si>
  <si>
    <t xml:space="preserve">        7-11.</t>
  </si>
  <si>
    <t xml:space="preserve">         2-3.</t>
  </si>
  <si>
    <t>X3</t>
  </si>
  <si>
    <t>мю</t>
  </si>
  <si>
    <t>сигма</t>
  </si>
  <si>
    <t>Разбиение на интервалы</t>
  </si>
  <si>
    <t>Норм. Распр</t>
  </si>
  <si>
    <t>Мин</t>
  </si>
  <si>
    <t>Крит значен</t>
  </si>
  <si>
    <t>x_i</t>
  </si>
  <si>
    <t>F_n(x)</t>
  </si>
  <si>
    <t>F(x)</t>
  </si>
  <si>
    <t>Расчет отклонений</t>
  </si>
  <si>
    <t>D_n</t>
  </si>
  <si>
    <t>X4</t>
  </si>
  <si>
    <t>мин</t>
  </si>
  <si>
    <t>макс</t>
  </si>
  <si>
    <t xml:space="preserve">      h</t>
  </si>
  <si>
    <t>границы</t>
  </si>
  <si>
    <t>кол знач в интервале</t>
  </si>
  <si>
    <t>расчет стат</t>
  </si>
  <si>
    <t>крит знач</t>
  </si>
  <si>
    <t>H0​ отвергается</t>
  </si>
  <si>
    <t>набл знач</t>
  </si>
  <si>
    <t xml:space="preserve"> H0​ отвергается</t>
  </si>
  <si>
    <t xml:space="preserve">   N</t>
  </si>
  <si>
    <t xml:space="preserve">   X4</t>
  </si>
  <si>
    <t>сред знач</t>
  </si>
  <si>
    <t>интер/шаг</t>
  </si>
  <si>
    <t>набл част</t>
  </si>
  <si>
    <t>теор част</t>
  </si>
  <si>
    <t>статис</t>
  </si>
  <si>
    <t>общ стат</t>
  </si>
  <si>
    <t>гипотеза не принимается</t>
  </si>
  <si>
    <t xml:space="preserve">       X4</t>
  </si>
  <si>
    <t xml:space="preserve">    F_n</t>
  </si>
  <si>
    <t xml:space="preserve">   F(x)</t>
  </si>
  <si>
    <t>отклонения</t>
  </si>
  <si>
    <t>стат Колмагорова</t>
  </si>
  <si>
    <r>
      <t>χ² &lt; 5.991</t>
    </r>
    <r>
      <rPr>
        <sz val="11"/>
        <color theme="1"/>
        <rFont val="Calibri"/>
        <family val="2"/>
        <charset val="204"/>
        <scheme val="minor"/>
      </rPr>
      <t> → гипотеза </t>
    </r>
    <r>
      <rPr>
        <b/>
        <sz val="11"/>
        <color theme="1"/>
        <rFont val="Calibri"/>
        <family val="2"/>
        <charset val="204"/>
        <scheme val="minor"/>
      </rPr>
      <t>принимается</t>
    </r>
    <r>
      <rPr>
        <sz val="11"/>
        <color theme="1"/>
        <rFont val="Calibri"/>
        <family val="2"/>
        <charset val="204"/>
        <scheme val="minor"/>
      </rPr>
      <t> (данные соответствуют распределению Пуассона)</t>
    </r>
  </si>
  <si>
    <r>
      <t>D</t>
    </r>
    <r>
      <rPr>
        <i/>
        <sz val="7.7"/>
        <color theme="1"/>
        <rFont val="KaTeX_Math"/>
      </rPr>
      <t>n</t>
    </r>
    <r>
      <rPr>
        <sz val="1"/>
        <color theme="1"/>
        <rFont val="Times New Roman"/>
        <family val="1"/>
        <charset val="204"/>
      </rPr>
      <t>​</t>
    </r>
    <r>
      <rPr>
        <sz val="10"/>
        <color theme="1"/>
        <rFont val="Segoe UI"/>
        <family val="2"/>
        <charset val="204"/>
      </rPr>
      <t> </t>
    </r>
    <r>
      <rPr>
        <b/>
        <sz val="10"/>
        <color theme="1"/>
        <rFont val="Segoe UI"/>
        <family val="2"/>
        <charset val="204"/>
      </rPr>
      <t>меньше</t>
    </r>
    <r>
      <rPr>
        <sz val="10"/>
        <color theme="1"/>
        <rFont val="Segoe UI"/>
        <family val="2"/>
        <charset val="204"/>
      </rPr>
      <t> критического значения, гипотеза принимается (данные соответствуют распределению)</t>
    </r>
  </si>
  <si>
    <r>
      <t>χ</t>
    </r>
    <r>
      <rPr>
        <b/>
        <sz val="7.7"/>
        <color theme="1"/>
        <rFont val="Times New Roman"/>
        <family val="1"/>
        <charset val="204"/>
      </rPr>
      <t>2</t>
    </r>
    <r>
      <rPr>
        <b/>
        <sz val="13.3"/>
        <color theme="1"/>
        <rFont val="Times New Roman"/>
        <family val="1"/>
        <charset val="204"/>
      </rPr>
      <t>&lt;7.815</t>
    </r>
    <r>
      <rPr>
        <sz val="10"/>
        <color theme="1"/>
        <rFont val="Segoe UI"/>
        <family val="2"/>
        <charset val="204"/>
      </rPr>
      <t> → гипотеза о нормальном распределении </t>
    </r>
    <r>
      <rPr>
        <b/>
        <sz val="10"/>
        <color theme="1"/>
        <rFont val="Segoe UI"/>
        <family val="2"/>
        <charset val="204"/>
      </rPr>
      <t>принимается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</si>
</sst>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204"/>
      <scheme val="minor"/>
    </font>
    <font>
      <sz val="8"/>
      <color rgb="FF404040"/>
      <name val="Courier New"/>
      <family val="3"/>
      <charset val="204"/>
    </font>
    <font>
      <sz val="9"/>
      <color rgb="FF404040"/>
      <name val="Segoe UI"/>
      <family val="2"/>
      <charset val="204"/>
    </font>
    <font>
      <sz val="10"/>
      <color rgb="FF404040"/>
      <name val="Segoe UI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sz val="11"/>
      <color rgb="FF404040"/>
      <name val="Calibri"/>
      <family val="2"/>
      <charset val="204"/>
      <scheme val="minor"/>
    </font>
    <font>
      <sz val="8"/>
      <color theme="1"/>
      <name val="Courier New"/>
      <family val="3"/>
      <charset val="204"/>
    </font>
    <font>
      <i/>
      <sz val="13.3"/>
      <color theme="1"/>
      <name val="KaTeX_Math"/>
    </font>
    <font>
      <i/>
      <sz val="7.7"/>
      <color theme="1"/>
      <name val="KaTeX_Math"/>
    </font>
    <font>
      <sz val="1"/>
      <color theme="1"/>
      <name val="Times New Roman"/>
      <family val="1"/>
      <charset val="204"/>
    </font>
    <font>
      <b/>
      <sz val="10"/>
      <color theme="1"/>
      <name val="Segoe UI"/>
      <family val="2"/>
      <charset val="204"/>
    </font>
    <font>
      <b/>
      <i/>
      <sz val="13.3"/>
      <color theme="1"/>
      <name val="KaTeX_Math"/>
    </font>
    <font>
      <b/>
      <sz val="7.7"/>
      <color theme="1"/>
      <name val="Times New Roman"/>
      <family val="1"/>
      <charset val="204"/>
    </font>
    <font>
      <b/>
      <sz val="13.3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right" vertical="center"/>
    </xf>
    <xf numFmtId="0" fontId="8" fillId="0" borderId="0" xfId="0" applyFont="1"/>
    <xf numFmtId="0" fontId="0" fillId="0" borderId="0" xfId="0" applyFont="1" applyAlignment="1">
      <alignment horizontal="left" vertical="center" wrapText="1" indent="1"/>
    </xf>
    <xf numFmtId="0" fontId="0" fillId="0" borderId="0" xfId="0" applyFont="1"/>
    <xf numFmtId="16" fontId="0" fillId="0" borderId="0" xfId="0" applyNumberFormat="1" applyFont="1"/>
    <xf numFmtId="0" fontId="6" fillId="0" borderId="0" xfId="0" applyFont="1"/>
    <xf numFmtId="0" fontId="9" fillId="0" borderId="0" xfId="0" applyFont="1" applyAlignment="1">
      <alignment horizontal="left" vertical="center" indent="1"/>
    </xf>
    <xf numFmtId="17" fontId="0" fillId="0" borderId="0" xfId="0" applyNumberFormat="1" applyFont="1"/>
    <xf numFmtId="0" fontId="10" fillId="0" borderId="0" xfId="0" applyFont="1"/>
    <xf numFmtId="0" fontId="14" fillId="0" borderId="0" xfId="0" applyFont="1"/>
    <xf numFmtId="3" fontId="0" fillId="0" borderId="0" xfId="0" applyNumberFormat="1" applyFont="1"/>
    <xf numFmtId="0" fontId="1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C12" sqref="C12"/>
    </sheetView>
  </sheetViews>
  <sheetFormatPr defaultRowHeight="14.4"/>
  <cols>
    <col min="1" max="1" width="10.44140625" customWidth="1"/>
    <col min="2" max="2" width="11.44140625" customWidth="1"/>
    <col min="3" max="3" width="13.109375" customWidth="1"/>
    <col min="6" max="6" width="18.109375" customWidth="1"/>
    <col min="7" max="7" width="17.6640625" customWidth="1"/>
    <col min="8" max="8" width="17.33203125" customWidth="1"/>
    <col min="9" max="9" width="16.21875" customWidth="1"/>
    <col min="10" max="10" width="25.5546875" customWidth="1"/>
    <col min="11" max="11" width="12.109375" customWidth="1"/>
    <col min="13" max="13" width="21.109375" customWidth="1"/>
    <col min="14" max="14" width="22" customWidth="1"/>
  </cols>
  <sheetData>
    <row r="1" spans="1:14">
      <c r="A1" s="2" t="s">
        <v>0</v>
      </c>
      <c r="B1" t="s">
        <v>1</v>
      </c>
      <c r="C1" t="s">
        <v>5</v>
      </c>
      <c r="D1" t="s">
        <v>6</v>
      </c>
      <c r="E1" t="s">
        <v>4</v>
      </c>
      <c r="F1" t="s">
        <v>8</v>
      </c>
      <c r="G1" t="s">
        <v>3</v>
      </c>
      <c r="H1" t="s">
        <v>7</v>
      </c>
      <c r="I1" t="s">
        <v>9</v>
      </c>
      <c r="J1" t="s">
        <v>10</v>
      </c>
      <c r="K1" t="s">
        <v>11</v>
      </c>
      <c r="M1" t="s">
        <v>14</v>
      </c>
      <c r="N1">
        <f>_xlfn.CHISQ.INV.RT(0.05, 1)</f>
        <v>3.8414588206941236</v>
      </c>
    </row>
    <row r="2" spans="1:14" ht="15">
      <c r="A2" s="2">
        <v>27</v>
      </c>
      <c r="B2">
        <f>MAX(A2:A51)</f>
        <v>35</v>
      </c>
      <c r="C2">
        <f>AVERAGE(A2:A41)</f>
        <v>27.324999999999999</v>
      </c>
      <c r="D2" s="6">
        <v>40</v>
      </c>
      <c r="E2" s="2">
        <v>21</v>
      </c>
      <c r="F2" s="2">
        <f>COUNTIF($A$2:$A$41, E2)</f>
        <v>1</v>
      </c>
      <c r="G2">
        <f>F2+F3+F4</f>
        <v>2</v>
      </c>
      <c r="H2">
        <f>_xlfn.BINOM.DIST(E2, $B$2, $C$3, FALSE) * $D$2</f>
        <v>0.24140433391838412</v>
      </c>
      <c r="I2" t="s">
        <v>12</v>
      </c>
      <c r="J2">
        <f>H2+H3+H4+H5+H6</f>
        <v>7.7242223467873137</v>
      </c>
      <c r="K2">
        <f>F2+F3+F4+F5+F6</f>
        <v>12</v>
      </c>
      <c r="M2" s="8">
        <f>((K2 - J2)^2) / J2</f>
        <v>2.3668757473452349</v>
      </c>
      <c r="N2" s="4"/>
    </row>
    <row r="3" spans="1:14">
      <c r="A3" s="2">
        <v>32</v>
      </c>
      <c r="B3" t="s">
        <v>2</v>
      </c>
      <c r="C3">
        <f>AVERAGE(A2:A51)/B2</f>
        <v>0.78685714285714281</v>
      </c>
      <c r="E3" s="2">
        <v>22</v>
      </c>
      <c r="F3" s="2">
        <f t="shared" ref="F3:F16" si="0">COUNTIF($A$2:$A$41, E3)</f>
        <v>1</v>
      </c>
      <c r="G3">
        <f>F2+F3+F4</f>
        <v>2</v>
      </c>
      <c r="H3" s="2">
        <f t="shared" ref="H3:H16" si="1">_xlfn.BINOM.DIST(E3, $B$2, $C$3, FALSE) * $D$2</f>
        <v>0.56712073474026437</v>
      </c>
      <c r="I3" s="2" t="s">
        <v>15</v>
      </c>
      <c r="J3">
        <f>SUM(H7:H10)</f>
        <v>23.602739273571267</v>
      </c>
      <c r="K3">
        <f>SUM(F7:F10)</f>
        <v>20</v>
      </c>
      <c r="M3" s="8">
        <f>((K3 - J3)^2) / J3</f>
        <v>0.54992474063663588</v>
      </c>
    </row>
    <row r="4" spans="1:14">
      <c r="A4" s="2">
        <v>25</v>
      </c>
      <c r="B4">
        <f>MIN(A2:A51)</f>
        <v>21</v>
      </c>
      <c r="E4" s="2">
        <v>23</v>
      </c>
      <c r="F4" s="2">
        <f t="shared" si="0"/>
        <v>0</v>
      </c>
      <c r="G4">
        <f>F2+F3+F4</f>
        <v>2</v>
      </c>
      <c r="H4" s="2">
        <f t="shared" si="1"/>
        <v>1.1833579989026082</v>
      </c>
      <c r="I4" s="2" t="s">
        <v>13</v>
      </c>
      <c r="J4">
        <f>H11+H12+H13+H14+H15+H16</f>
        <v>8.5377853273787672</v>
      </c>
      <c r="K4">
        <f>F11+F12+F13+F14+F15+F16</f>
        <v>8</v>
      </c>
      <c r="M4" s="8">
        <f>((K4 - J4)^2) / J4</f>
        <v>3.3874482345725675E-2</v>
      </c>
    </row>
    <row r="5" spans="1:14" ht="86.4">
      <c r="A5" s="2">
        <v>35</v>
      </c>
      <c r="E5" s="2">
        <v>24</v>
      </c>
      <c r="F5" s="2">
        <f t="shared" si="0"/>
        <v>6</v>
      </c>
      <c r="G5">
        <f>F5</f>
        <v>6</v>
      </c>
      <c r="H5" s="2">
        <f t="shared" si="1"/>
        <v>2.1842948585641948</v>
      </c>
      <c r="I5" s="2"/>
      <c r="M5" s="8">
        <f>SUM(M2:M4)</f>
        <v>2.9506749703275963</v>
      </c>
      <c r="N5" s="7" t="s">
        <v>16</v>
      </c>
    </row>
    <row r="6" spans="1:14">
      <c r="A6" s="2">
        <v>24</v>
      </c>
      <c r="E6" s="2">
        <v>25</v>
      </c>
      <c r="F6" s="2">
        <f t="shared" si="0"/>
        <v>4</v>
      </c>
      <c r="G6">
        <v>4</v>
      </c>
      <c r="H6" s="2">
        <f t="shared" si="1"/>
        <v>3.5480444206618627</v>
      </c>
      <c r="I6" s="2"/>
      <c r="M6" s="1"/>
    </row>
    <row r="7" spans="1:14">
      <c r="A7" s="2">
        <v>29</v>
      </c>
      <c r="E7" s="2">
        <v>26</v>
      </c>
      <c r="F7" s="2">
        <f t="shared" si="0"/>
        <v>5</v>
      </c>
      <c r="G7">
        <f>F7</f>
        <v>5</v>
      </c>
      <c r="H7" s="2">
        <f t="shared" si="1"/>
        <v>5.0377986876174283</v>
      </c>
      <c r="I7" s="2"/>
      <c r="M7" s="1"/>
    </row>
    <row r="8" spans="1:14">
      <c r="A8" s="2">
        <v>33</v>
      </c>
      <c r="E8" s="2">
        <v>27</v>
      </c>
      <c r="F8" s="2">
        <f t="shared" si="0"/>
        <v>3</v>
      </c>
      <c r="G8">
        <f>F8</f>
        <v>3</v>
      </c>
      <c r="H8" s="2">
        <f t="shared" si="1"/>
        <v>6.1993286799367286</v>
      </c>
      <c r="I8" s="2"/>
      <c r="M8" s="1"/>
    </row>
    <row r="9" spans="1:14">
      <c r="A9" s="2">
        <v>28</v>
      </c>
      <c r="E9" s="2">
        <v>28</v>
      </c>
      <c r="F9" s="2">
        <f t="shared" si="0"/>
        <v>7</v>
      </c>
      <c r="G9">
        <f>F9</f>
        <v>7</v>
      </c>
      <c r="H9" s="2">
        <f t="shared" si="1"/>
        <v>6.5388552985621393</v>
      </c>
      <c r="I9" s="2"/>
    </row>
    <row r="10" spans="1:14">
      <c r="A10" s="2">
        <v>21</v>
      </c>
      <c r="E10" s="2">
        <v>29</v>
      </c>
      <c r="F10" s="2">
        <f t="shared" si="0"/>
        <v>5</v>
      </c>
      <c r="G10">
        <f>F10</f>
        <v>5</v>
      </c>
      <c r="H10" s="2">
        <f t="shared" si="1"/>
        <v>5.8267566074549713</v>
      </c>
      <c r="I10" s="2"/>
    </row>
    <row r="11" spans="1:14">
      <c r="A11" s="2">
        <v>28</v>
      </c>
      <c r="E11" s="2">
        <v>30</v>
      </c>
      <c r="F11" s="2">
        <f t="shared" si="0"/>
        <v>3</v>
      </c>
      <c r="G11">
        <f>F11</f>
        <v>3</v>
      </c>
      <c r="H11" s="2">
        <f t="shared" si="1"/>
        <v>4.3021146640565648</v>
      </c>
      <c r="I11" s="2"/>
    </row>
    <row r="12" spans="1:14">
      <c r="A12" s="2">
        <v>29</v>
      </c>
      <c r="E12" s="2">
        <v>31</v>
      </c>
      <c r="F12" s="2">
        <f t="shared" si="0"/>
        <v>1</v>
      </c>
      <c r="G12" s="3">
        <f>F12+F13+F14+F15+F16</f>
        <v>5</v>
      </c>
      <c r="H12" s="2">
        <f t="shared" si="1"/>
        <v>2.5616240994577062</v>
      </c>
      <c r="I12" s="2"/>
    </row>
    <row r="13" spans="1:14">
      <c r="A13" s="2">
        <v>30</v>
      </c>
      <c r="E13" s="2">
        <v>32</v>
      </c>
      <c r="F13" s="2">
        <f t="shared" si="0"/>
        <v>1</v>
      </c>
      <c r="G13">
        <f>F12+F13+F14+F15+F16</f>
        <v>5</v>
      </c>
      <c r="H13" s="2">
        <f t="shared" si="1"/>
        <v>1.1820899413382242</v>
      </c>
      <c r="I13" s="2"/>
    </row>
    <row r="14" spans="1:14">
      <c r="A14" s="2">
        <v>26</v>
      </c>
      <c r="E14" s="2">
        <v>33</v>
      </c>
      <c r="F14" s="2">
        <f t="shared" si="0"/>
        <v>2</v>
      </c>
      <c r="G14">
        <f>F12+F13+F14+F15+F16</f>
        <v>5</v>
      </c>
      <c r="H14" s="2">
        <f t="shared" si="1"/>
        <v>0.39671894935967206</v>
      </c>
      <c r="I14" s="2"/>
    </row>
    <row r="15" spans="1:14">
      <c r="A15" s="2">
        <v>30</v>
      </c>
      <c r="E15" s="2">
        <v>34</v>
      </c>
      <c r="F15" s="2">
        <f t="shared" si="0"/>
        <v>0</v>
      </c>
      <c r="G15">
        <f>F12+F13+F14+F15+F16</f>
        <v>5</v>
      </c>
      <c r="H15" s="2">
        <f t="shared" si="1"/>
        <v>8.6150763801966262E-2</v>
      </c>
      <c r="I15" s="2"/>
    </row>
    <row r="16" spans="1:14">
      <c r="A16" s="2">
        <v>26</v>
      </c>
      <c r="E16" s="2">
        <v>35</v>
      </c>
      <c r="F16" s="2">
        <f t="shared" si="0"/>
        <v>1</v>
      </c>
      <c r="G16">
        <f>F12+F13+F14+F15+F16</f>
        <v>5</v>
      </c>
      <c r="H16" s="2">
        <f t="shared" si="1"/>
        <v>9.0869093646348178E-3</v>
      </c>
      <c r="I16" s="2"/>
    </row>
    <row r="17" spans="1:6">
      <c r="A17" s="2">
        <v>25</v>
      </c>
      <c r="E17" s="2"/>
      <c r="F17" s="2">
        <f>COUNT(F2:F10)</f>
        <v>9</v>
      </c>
    </row>
    <row r="18" spans="1:6">
      <c r="A18" s="2">
        <v>24</v>
      </c>
      <c r="E18" s="2"/>
      <c r="F18" s="2"/>
    </row>
    <row r="19" spans="1:6">
      <c r="A19" s="2">
        <v>28</v>
      </c>
      <c r="E19" s="2"/>
      <c r="F19" s="2"/>
    </row>
    <row r="20" spans="1:6">
      <c r="A20" s="2">
        <v>26</v>
      </c>
      <c r="E20" s="2"/>
      <c r="F20" s="2"/>
    </row>
    <row r="21" spans="1:6">
      <c r="A21" s="2">
        <v>28</v>
      </c>
      <c r="E21" s="2"/>
      <c r="F21" s="2"/>
    </row>
    <row r="22" spans="1:6">
      <c r="A22" s="2">
        <v>24</v>
      </c>
      <c r="E22" s="2"/>
      <c r="F22" s="2"/>
    </row>
    <row r="23" spans="1:6">
      <c r="A23" s="2">
        <v>27</v>
      </c>
      <c r="E23" s="2"/>
      <c r="F23" s="2"/>
    </row>
    <row r="24" spans="1:6">
      <c r="A24" s="2">
        <v>29</v>
      </c>
      <c r="E24" s="2"/>
      <c r="F24" s="2"/>
    </row>
    <row r="25" spans="1:6">
      <c r="A25" s="2">
        <v>26</v>
      </c>
      <c r="E25" s="2"/>
      <c r="F25" s="2"/>
    </row>
    <row r="26" spans="1:6">
      <c r="A26" s="2">
        <v>25</v>
      </c>
      <c r="E26" s="2"/>
      <c r="F26" s="2"/>
    </row>
    <row r="27" spans="1:6">
      <c r="A27" s="2">
        <v>27</v>
      </c>
      <c r="E27" s="2"/>
      <c r="F27" s="2"/>
    </row>
    <row r="28" spans="1:6">
      <c r="A28" s="2">
        <v>22</v>
      </c>
      <c r="E28" s="2"/>
      <c r="F28" s="2"/>
    </row>
    <row r="29" spans="1:6">
      <c r="A29" s="2">
        <v>24</v>
      </c>
      <c r="E29" s="2"/>
      <c r="F29" s="2"/>
    </row>
    <row r="30" spans="1:6">
      <c r="A30" s="2">
        <v>24</v>
      </c>
      <c r="E30" s="2"/>
      <c r="F30" s="2"/>
    </row>
    <row r="31" spans="1:6">
      <c r="A31" s="2">
        <v>29</v>
      </c>
      <c r="E31" s="2"/>
      <c r="F31" s="2"/>
    </row>
    <row r="32" spans="1:6">
      <c r="A32" s="2">
        <v>31</v>
      </c>
      <c r="E32" s="2"/>
      <c r="F32" s="2"/>
    </row>
    <row r="33" spans="1:6">
      <c r="A33" s="2">
        <v>28</v>
      </c>
      <c r="E33" s="2"/>
      <c r="F33" s="2"/>
    </row>
    <row r="34" spans="1:6">
      <c r="A34" s="2">
        <v>30</v>
      </c>
      <c r="E34" s="2"/>
      <c r="F34" s="2"/>
    </row>
    <row r="35" spans="1:6">
      <c r="A35" s="2">
        <v>24</v>
      </c>
      <c r="E35" s="2"/>
      <c r="F35" s="2"/>
    </row>
    <row r="36" spans="1:6">
      <c r="A36" s="2">
        <v>25</v>
      </c>
      <c r="F36" s="2"/>
    </row>
    <row r="37" spans="1:6">
      <c r="A37" s="2">
        <v>28</v>
      </c>
    </row>
    <row r="38" spans="1:6">
      <c r="A38" s="2">
        <v>33</v>
      </c>
    </row>
    <row r="39" spans="1:6">
      <c r="A39" s="2">
        <v>29</v>
      </c>
    </row>
    <row r="40" spans="1:6">
      <c r="A40" s="2">
        <v>26</v>
      </c>
    </row>
    <row r="41" spans="1:6">
      <c r="A41" s="2">
        <v>28</v>
      </c>
    </row>
    <row r="42" spans="1:6">
      <c r="A42" s="2">
        <v>25</v>
      </c>
    </row>
    <row r="43" spans="1:6">
      <c r="A43" s="2">
        <v>28</v>
      </c>
    </row>
    <row r="44" spans="1:6">
      <c r="A44" s="2">
        <v>29</v>
      </c>
    </row>
    <row r="45" spans="1:6">
      <c r="A45" s="2">
        <v>32</v>
      </c>
    </row>
    <row r="46" spans="1:6">
      <c r="A46" s="2">
        <v>33</v>
      </c>
    </row>
    <row r="47" spans="1:6">
      <c r="A47" s="2">
        <v>24</v>
      </c>
    </row>
    <row r="48" spans="1:6">
      <c r="A48" s="2">
        <v>28</v>
      </c>
    </row>
    <row r="49" spans="1:1">
      <c r="A49" s="2">
        <v>29</v>
      </c>
    </row>
    <row r="50" spans="1:1">
      <c r="A50" s="2">
        <v>26</v>
      </c>
    </row>
    <row r="51" spans="1:1">
      <c r="A51" s="2">
        <v>30</v>
      </c>
    </row>
  </sheetData>
  <pageMargins left="0.7" right="0.7" top="0.75" bottom="0.75" header="0.3" footer="0.3"/>
  <pageSetup paperSize="9" orientation="portrait" r:id="rId1"/>
  <ignoredErrors>
    <ignoredError sqref="C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zoomScale="86" workbookViewId="0">
      <selection activeCell="I22" sqref="I22:I23"/>
    </sheetView>
  </sheetViews>
  <sheetFormatPr defaultRowHeight="14.4"/>
  <cols>
    <col min="1" max="16384" width="8.88671875" style="8"/>
  </cols>
  <sheetData>
    <row r="1" spans="1:12">
      <c r="A1" s="8" t="s">
        <v>18</v>
      </c>
      <c r="B1" s="8" t="s">
        <v>17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8" t="s">
        <v>27</v>
      </c>
    </row>
    <row r="2" spans="1:12">
      <c r="A2" s="8">
        <v>5</v>
      </c>
      <c r="B2" s="8">
        <v>2</v>
      </c>
      <c r="C2" s="8">
        <f>COUNTIF($A$2:$A$41, B2)</f>
        <v>2</v>
      </c>
      <c r="D2" s="8">
        <f>AVERAGE(A2:A41)</f>
        <v>5.25</v>
      </c>
      <c r="E2" s="8">
        <f>_xlfn.POISSON.DIST(B2, $D$2, FALSE)</f>
        <v>7.2317362938718474E-2</v>
      </c>
      <c r="F2" s="8">
        <f>VAR(A2:A41)</f>
        <v>4.8589743589743586</v>
      </c>
      <c r="G2" s="8">
        <f>E2*40</f>
        <v>2.8926945175487391</v>
      </c>
      <c r="H2" s="9" t="s">
        <v>29</v>
      </c>
      <c r="I2" s="8">
        <f>SUM(C2:C3)</f>
        <v>9</v>
      </c>
      <c r="J2" s="8">
        <f>SUM(E2:E3)</f>
        <v>0.19887274808147581</v>
      </c>
      <c r="K2" s="8">
        <f>((I2 - J2)^2) / J2</f>
        <v>389.49449661513472</v>
      </c>
      <c r="L2" s="8">
        <f>_xlfn.CHISQ.INV.RT(0.05, 3)</f>
        <v>7.8147279032511792</v>
      </c>
    </row>
    <row r="3" spans="1:12">
      <c r="A3" s="8">
        <v>6</v>
      </c>
      <c r="B3" s="8">
        <v>3</v>
      </c>
      <c r="C3" s="8">
        <f t="shared" ref="C3:C11" si="0">COUNTIF($A$2:$A$41, B3)</f>
        <v>7</v>
      </c>
      <c r="E3" s="8">
        <f t="shared" ref="E3:E11" si="1">_xlfn.POISSON.DIST(B3, $D$2, FALSE)</f>
        <v>0.12655538514275735</v>
      </c>
      <c r="G3" s="8">
        <f t="shared" ref="G3:G11" si="2">E3*40</f>
        <v>5.0622154057102939</v>
      </c>
      <c r="H3" s="8" t="s">
        <v>28</v>
      </c>
      <c r="I3" s="8">
        <f>SUM(C7:C11)</f>
        <v>11</v>
      </c>
      <c r="J3" s="8">
        <f>SUM(E7:E11)</f>
        <v>0.26736459865520851</v>
      </c>
      <c r="K3" s="8">
        <f>((I3 - J3)^2) / J3</f>
        <v>430.83288976019969</v>
      </c>
    </row>
    <row r="4" spans="1:12">
      <c r="A4" s="8">
        <v>8</v>
      </c>
      <c r="B4" s="8">
        <v>4</v>
      </c>
      <c r="C4" s="8">
        <f t="shared" si="0"/>
        <v>10</v>
      </c>
      <c r="E4" s="8">
        <f t="shared" si="1"/>
        <v>0.16610394299986897</v>
      </c>
      <c r="G4" s="8">
        <f t="shared" si="2"/>
        <v>6.6441577199947588</v>
      </c>
      <c r="H4" s="8">
        <v>4</v>
      </c>
      <c r="K4" s="8">
        <f>((C4 - E4)^2) / E4</f>
        <v>582.19877212643314</v>
      </c>
    </row>
    <row r="5" spans="1:12">
      <c r="A5" s="8">
        <v>4</v>
      </c>
      <c r="B5" s="8">
        <v>5</v>
      </c>
      <c r="C5" s="8">
        <f t="shared" si="0"/>
        <v>5</v>
      </c>
      <c r="E5" s="8">
        <f>_xlfn.POISSON.DIST(B5, $D$2, FALSE)</f>
        <v>0.17440914014986242</v>
      </c>
      <c r="G5" s="8">
        <f t="shared" si="2"/>
        <v>6.9763656059944967</v>
      </c>
      <c r="H5" s="8">
        <v>5</v>
      </c>
      <c r="K5" s="8">
        <f t="shared" ref="K5:K6" si="3">((C5 - E5)^2) / E5</f>
        <v>133.51552061239585</v>
      </c>
    </row>
    <row r="6" spans="1:12">
      <c r="A6" s="8">
        <v>3</v>
      </c>
      <c r="B6" s="8">
        <v>6</v>
      </c>
      <c r="C6" s="8">
        <f t="shared" si="0"/>
        <v>5</v>
      </c>
      <c r="E6" s="8">
        <f t="shared" si="1"/>
        <v>0.15260799763112959</v>
      </c>
      <c r="G6" s="8">
        <f t="shared" si="2"/>
        <v>6.104319905245184</v>
      </c>
      <c r="H6" s="8">
        <v>6</v>
      </c>
      <c r="K6" s="8">
        <f t="shared" si="3"/>
        <v>153.97102110876943</v>
      </c>
    </row>
    <row r="7" spans="1:12">
      <c r="A7" s="8">
        <v>7</v>
      </c>
      <c r="B7" s="8">
        <v>7</v>
      </c>
      <c r="C7" s="8">
        <f t="shared" si="0"/>
        <v>5</v>
      </c>
      <c r="E7" s="8">
        <f t="shared" si="1"/>
        <v>0.11445599822334721</v>
      </c>
      <c r="G7" s="8">
        <f t="shared" si="2"/>
        <v>4.578239928933888</v>
      </c>
      <c r="K7" s="8">
        <f>SUM(K2:K6)</f>
        <v>1690.0127002229328</v>
      </c>
    </row>
    <row r="8" spans="1:12">
      <c r="A8" s="8">
        <v>6</v>
      </c>
      <c r="B8" s="8">
        <v>8</v>
      </c>
      <c r="C8" s="8">
        <f t="shared" si="0"/>
        <v>2</v>
      </c>
      <c r="E8" s="8">
        <f t="shared" si="1"/>
        <v>7.5111748834071651E-2</v>
      </c>
      <c r="G8" s="8">
        <f t="shared" si="2"/>
        <v>3.0044699533628663</v>
      </c>
      <c r="K8" s="10" t="s">
        <v>67</v>
      </c>
    </row>
    <row r="9" spans="1:12">
      <c r="A9" s="8">
        <v>3</v>
      </c>
      <c r="B9" s="8">
        <v>9</v>
      </c>
      <c r="C9" s="8">
        <f t="shared" si="0"/>
        <v>2</v>
      </c>
      <c r="E9" s="8">
        <f t="shared" si="1"/>
        <v>4.381518681987516E-2</v>
      </c>
      <c r="G9" s="8">
        <f t="shared" si="2"/>
        <v>1.7526074727950065</v>
      </c>
    </row>
    <row r="10" spans="1:12">
      <c r="A10" s="8">
        <v>3</v>
      </c>
      <c r="B10" s="8">
        <v>10</v>
      </c>
      <c r="C10" s="8">
        <f t="shared" si="0"/>
        <v>1</v>
      </c>
      <c r="E10" s="8">
        <f t="shared" si="1"/>
        <v>2.3002973080434447E-2</v>
      </c>
      <c r="G10" s="8">
        <f t="shared" si="2"/>
        <v>0.92011892321737787</v>
      </c>
    </row>
    <row r="11" spans="1:12">
      <c r="A11" s="8">
        <v>4</v>
      </c>
      <c r="B11" s="8">
        <v>11</v>
      </c>
      <c r="C11" s="8">
        <f t="shared" si="0"/>
        <v>1</v>
      </c>
      <c r="E11" s="8">
        <f t="shared" si="1"/>
        <v>1.0978691697480059E-2</v>
      </c>
      <c r="G11" s="8">
        <f t="shared" si="2"/>
        <v>0.43914766789920234</v>
      </c>
    </row>
    <row r="12" spans="1:12">
      <c r="A12" s="8">
        <v>6</v>
      </c>
      <c r="C12" s="8">
        <f>SUM(C2:C11)</f>
        <v>40</v>
      </c>
    </row>
    <row r="13" spans="1:12">
      <c r="A13" s="8">
        <v>2</v>
      </c>
    </row>
    <row r="14" spans="1:12">
      <c r="A14" s="8">
        <v>4</v>
      </c>
    </row>
    <row r="15" spans="1:12">
      <c r="A15" s="8">
        <v>8</v>
      </c>
    </row>
    <row r="16" spans="1:12">
      <c r="A16" s="8">
        <v>4</v>
      </c>
    </row>
    <row r="17" spans="1:1">
      <c r="A17" s="8">
        <v>6</v>
      </c>
    </row>
    <row r="18" spans="1:1">
      <c r="A18" s="8">
        <v>5</v>
      </c>
    </row>
    <row r="19" spans="1:1">
      <c r="A19" s="8">
        <v>3</v>
      </c>
    </row>
    <row r="20" spans="1:1">
      <c r="A20" s="8">
        <v>4</v>
      </c>
    </row>
    <row r="21" spans="1:1">
      <c r="A21" s="8">
        <v>9</v>
      </c>
    </row>
    <row r="22" spans="1:1">
      <c r="A22" s="8">
        <v>7</v>
      </c>
    </row>
    <row r="23" spans="1:1">
      <c r="A23" s="8">
        <v>3</v>
      </c>
    </row>
    <row r="24" spans="1:1">
      <c r="A24" s="8">
        <v>5</v>
      </c>
    </row>
    <row r="25" spans="1:1">
      <c r="A25" s="8">
        <v>3</v>
      </c>
    </row>
    <row r="26" spans="1:1">
      <c r="A26" s="8">
        <v>4</v>
      </c>
    </row>
    <row r="27" spans="1:1">
      <c r="A27" s="8">
        <v>9</v>
      </c>
    </row>
    <row r="28" spans="1:1">
      <c r="A28" s="8">
        <v>4</v>
      </c>
    </row>
    <row r="29" spans="1:1">
      <c r="A29" s="8">
        <v>7</v>
      </c>
    </row>
    <row r="30" spans="1:1">
      <c r="A30" s="8">
        <v>11</v>
      </c>
    </row>
    <row r="31" spans="1:1">
      <c r="A31" s="8">
        <v>4</v>
      </c>
    </row>
    <row r="32" spans="1:1">
      <c r="A32" s="8">
        <v>5</v>
      </c>
    </row>
    <row r="33" spans="1:1">
      <c r="A33" s="8">
        <v>7</v>
      </c>
    </row>
    <row r="34" spans="1:1">
      <c r="A34" s="8">
        <v>3</v>
      </c>
    </row>
    <row r="35" spans="1:1">
      <c r="A35" s="8">
        <v>10</v>
      </c>
    </row>
    <row r="36" spans="1:1">
      <c r="A36" s="8">
        <v>7</v>
      </c>
    </row>
    <row r="37" spans="1:1">
      <c r="A37" s="8">
        <v>5</v>
      </c>
    </row>
    <row r="38" spans="1:1">
      <c r="A38" s="8">
        <v>4</v>
      </c>
    </row>
    <row r="39" spans="1:1">
      <c r="A39" s="8">
        <v>2</v>
      </c>
    </row>
    <row r="40" spans="1:1">
      <c r="A40" s="8">
        <v>4</v>
      </c>
    </row>
    <row r="41" spans="1:1">
      <c r="A41" s="8">
        <v>6</v>
      </c>
    </row>
    <row r="42" spans="1:1">
      <c r="A42" s="8">
        <v>7</v>
      </c>
    </row>
    <row r="43" spans="1:1">
      <c r="A43" s="8">
        <v>4</v>
      </c>
    </row>
    <row r="44" spans="1:1">
      <c r="A44" s="8">
        <v>7</v>
      </c>
    </row>
    <row r="45" spans="1:1">
      <c r="A45" s="8">
        <v>3</v>
      </c>
    </row>
    <row r="46" spans="1:1">
      <c r="A46" s="8">
        <v>3</v>
      </c>
    </row>
    <row r="47" spans="1:1">
      <c r="A47" s="8">
        <v>3</v>
      </c>
    </row>
    <row r="48" spans="1:1">
      <c r="A48" s="8">
        <v>8</v>
      </c>
    </row>
    <row r="49" spans="1:1">
      <c r="A49" s="8">
        <v>9</v>
      </c>
    </row>
    <row r="50" spans="1:1">
      <c r="A50" s="8">
        <v>5</v>
      </c>
    </row>
    <row r="51" spans="1:1">
      <c r="A51" s="8">
        <v>6</v>
      </c>
    </row>
  </sheetData>
  <pageMargins left="0.7" right="0.7" top="0.75" bottom="0.75" header="0.3" footer="0.3"/>
  <ignoredErrors>
    <ignoredError sqref="F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opLeftCell="O1" workbookViewId="0">
      <selection activeCell="X15" sqref="X15"/>
    </sheetView>
  </sheetViews>
  <sheetFormatPr defaultRowHeight="14.4"/>
  <cols>
    <col min="1" max="3" width="8.88671875" style="8"/>
    <col min="4" max="4" width="11.88671875" style="8" bestFit="1" customWidth="1"/>
    <col min="5" max="5" width="9.21875" style="8" bestFit="1" customWidth="1"/>
    <col min="6" max="6" width="11.88671875" style="8" bestFit="1" customWidth="1"/>
    <col min="7" max="16384" width="8.88671875" style="8"/>
  </cols>
  <sheetData>
    <row r="1" spans="1:20">
      <c r="A1" s="8" t="s">
        <v>30</v>
      </c>
      <c r="B1" s="8" t="s">
        <v>31</v>
      </c>
      <c r="C1" s="8" t="s">
        <v>32</v>
      </c>
      <c r="D1" s="8" t="s">
        <v>33</v>
      </c>
      <c r="E1" s="8" t="s">
        <v>35</v>
      </c>
      <c r="F1" s="8" t="s">
        <v>34</v>
      </c>
      <c r="G1" s="8" t="s">
        <v>36</v>
      </c>
      <c r="N1" s="8" t="s">
        <v>30</v>
      </c>
      <c r="O1" s="8" t="s">
        <v>37</v>
      </c>
      <c r="Q1" s="8" t="s">
        <v>38</v>
      </c>
      <c r="R1" s="8" t="s">
        <v>39</v>
      </c>
      <c r="S1" s="8" t="s">
        <v>40</v>
      </c>
      <c r="T1" s="8" t="s">
        <v>41</v>
      </c>
    </row>
    <row r="2" spans="1:20">
      <c r="A2" s="5">
        <v>0.97409500000000004</v>
      </c>
      <c r="B2" s="8">
        <f>AVERAGE(A2:A41)</f>
        <v>3.36459815</v>
      </c>
      <c r="C2" s="8">
        <f>_xlfn.STDEV.S(A2:A41)</f>
        <v>3.5625963153866209</v>
      </c>
      <c r="D2" s="11">
        <f>(MAX(A2:A41)-E2)/6</f>
        <v>3.147259333333333</v>
      </c>
      <c r="E2" s="11">
        <f>MIN(A2:A41)</f>
        <v>0.17391400000000001</v>
      </c>
      <c r="F2" s="11">
        <f>_xlfn.NORM.DIST(E3, $B$2, $C$2, TRUE)- _xlfn.NORM.DIST(E2, $B$2, $C$2, TRUE)</f>
        <v>0.30990587450468332</v>
      </c>
      <c r="G2" s="8">
        <f>_xlfn.CHISQ.INV.RT(0.05, 3)</f>
        <v>7.8147279032511792</v>
      </c>
      <c r="N2" s="5">
        <v>8.1724000000000005E-2</v>
      </c>
      <c r="O2" s="8">
        <f>N2/40</f>
        <v>2.0431E-3</v>
      </c>
      <c r="Q2" s="8">
        <f>COUNTIF($N$2:$N$41, "&lt;=" &amp; N2) / 40</f>
        <v>2.5000000000000001E-2</v>
      </c>
      <c r="R2" s="8">
        <f>_xlfn.NORM.DIST(N2, AVERAGE($N$2:$N$41), _xlfn.STDEV.S($N$2:$N$41), TRUE)</f>
        <v>8.9670182334936566E-2</v>
      </c>
      <c r="S2" s="8">
        <f>ABS(Q2 - R2)</f>
        <v>6.4670182334936571E-2</v>
      </c>
      <c r="T2" s="8">
        <f>MAX(S2:S41)</f>
        <v>0.16046515546573981</v>
      </c>
    </row>
    <row r="3" spans="1:20">
      <c r="A3" s="5">
        <v>2.0723590000000001</v>
      </c>
      <c r="E3" s="8">
        <f>E2+D2</f>
        <v>3.3211733333333329</v>
      </c>
      <c r="F3" s="11">
        <f t="shared" ref="F3:F7" si="0">_xlfn.NORM.DIST(E4, $B$2, $C$2, TRUE)- _xlfn.NORM.DIST(E3, $B$2, $C$2, TRUE)</f>
        <v>0.31304785224581172</v>
      </c>
      <c r="N3" s="5">
        <v>0.17391400000000001</v>
      </c>
      <c r="O3" s="8">
        <f t="shared" ref="O3:O41" si="1">N3/40</f>
        <v>4.3478500000000003E-3</v>
      </c>
      <c r="Q3" s="8">
        <f t="shared" ref="Q3:Q41" si="2">COUNTIF($N$2:$N$41, "&lt;=" &amp; N3) / 40</f>
        <v>0.05</v>
      </c>
      <c r="R3" s="8">
        <f t="shared" ref="R3:R41" si="3">_xlfn.NORM.DIST(N3, AVERAGE($N$2:$N$41), _xlfn.STDEV.S($N$2:$N$41), TRUE)</f>
        <v>0.1005649150228053</v>
      </c>
      <c r="S3" s="8">
        <f t="shared" ref="S3:S41" si="4">ABS(Q3 - R3)</f>
        <v>5.0564915022805301E-2</v>
      </c>
    </row>
    <row r="4" spans="1:20" ht="17.399999999999999">
      <c r="A4" s="5">
        <v>0.17391400000000001</v>
      </c>
      <c r="E4" s="8">
        <f>E3+$D$2</f>
        <v>6.4684326666666658</v>
      </c>
      <c r="F4" s="11">
        <f t="shared" si="0"/>
        <v>0.1521547961560622</v>
      </c>
      <c r="G4" s="12"/>
      <c r="N4" s="5">
        <v>0.18941</v>
      </c>
      <c r="O4" s="8">
        <f t="shared" si="1"/>
        <v>4.7352499999999999E-3</v>
      </c>
      <c r="Q4" s="8">
        <f t="shared" si="2"/>
        <v>7.4999999999999997E-2</v>
      </c>
      <c r="R4" s="8">
        <f t="shared" si="3"/>
        <v>0.10248719422378369</v>
      </c>
      <c r="S4" s="8">
        <f t="shared" si="4"/>
        <v>2.7487194223783692E-2</v>
      </c>
      <c r="T4" s="13" t="s">
        <v>68</v>
      </c>
    </row>
    <row r="5" spans="1:20">
      <c r="A5" s="5">
        <v>1.0762769999999999</v>
      </c>
      <c r="E5" s="8">
        <f t="shared" ref="E5:E8" si="5">E4+$D$2</f>
        <v>9.6156919999999992</v>
      </c>
      <c r="F5" s="11">
        <f t="shared" si="0"/>
        <v>3.5490919949345834E-2</v>
      </c>
      <c r="N5" s="5">
        <v>0.24934100000000001</v>
      </c>
      <c r="O5" s="8">
        <f t="shared" si="1"/>
        <v>6.2335250000000002E-3</v>
      </c>
      <c r="Q5" s="8">
        <f t="shared" si="2"/>
        <v>0.1</v>
      </c>
      <c r="R5" s="8">
        <f t="shared" si="3"/>
        <v>0.11017299411156552</v>
      </c>
      <c r="S5" s="8">
        <f t="shared" si="4"/>
        <v>1.0172994111565511E-2</v>
      </c>
    </row>
    <row r="6" spans="1:20">
      <c r="A6" s="5">
        <v>5.3705249999999998</v>
      </c>
      <c r="E6" s="8">
        <f t="shared" si="5"/>
        <v>12.762951333333332</v>
      </c>
      <c r="F6" s="11">
        <f t="shared" si="0"/>
        <v>3.9544833406645052E-3</v>
      </c>
      <c r="N6" s="5">
        <v>0.293711</v>
      </c>
      <c r="O6" s="8">
        <f t="shared" si="1"/>
        <v>7.3427750000000002E-3</v>
      </c>
      <c r="Q6" s="8">
        <f t="shared" si="2"/>
        <v>0.125</v>
      </c>
      <c r="R6" s="8">
        <f>_xlfn.NORM.DIST(N6, AVERAGE($N$2:$N$41), _xlfn.STDEV.S($N$2:$N$41), TRUE)</f>
        <v>0.11612366996909818</v>
      </c>
      <c r="S6" s="8">
        <f t="shared" si="4"/>
        <v>8.8763300309018245E-3</v>
      </c>
    </row>
    <row r="7" spans="1:20">
      <c r="A7" s="5">
        <v>1.4106650000000001</v>
      </c>
      <c r="E7" s="8">
        <f t="shared" si="5"/>
        <v>15.910210666666664</v>
      </c>
      <c r="F7" s="11">
        <f t="shared" si="0"/>
        <v>2.0928063365599492E-4</v>
      </c>
      <c r="N7" s="5">
        <v>0.34080199999999999</v>
      </c>
      <c r="O7" s="8">
        <f t="shared" si="1"/>
        <v>8.5200499999999995E-3</v>
      </c>
      <c r="Q7" s="8">
        <f t="shared" si="2"/>
        <v>0.15</v>
      </c>
      <c r="R7" s="8">
        <f t="shared" si="3"/>
        <v>0.12268502948740476</v>
      </c>
      <c r="S7" s="8">
        <f t="shared" si="4"/>
        <v>2.7314970512595238E-2</v>
      </c>
    </row>
    <row r="8" spans="1:20">
      <c r="A8" s="5">
        <v>6.4454859999999998</v>
      </c>
      <c r="E8" s="8">
        <f t="shared" si="5"/>
        <v>19.057469999999999</v>
      </c>
      <c r="F8" s="11">
        <f>SUM(F2:F7)</f>
        <v>0.81476320683022352</v>
      </c>
      <c r="N8" s="5">
        <v>0.71518499999999996</v>
      </c>
      <c r="O8" s="8">
        <f t="shared" si="1"/>
        <v>1.7879625E-2</v>
      </c>
      <c r="Q8" s="8">
        <f t="shared" si="2"/>
        <v>0.17499999999999999</v>
      </c>
      <c r="R8" s="8">
        <f t="shared" si="3"/>
        <v>0.18407623175901422</v>
      </c>
      <c r="S8" s="8">
        <f t="shared" si="4"/>
        <v>9.0762317590142305E-3</v>
      </c>
    </row>
    <row r="9" spans="1:20" ht="17.399999999999999">
      <c r="A9" s="5">
        <v>0.34080199999999999</v>
      </c>
      <c r="F9" s="14" t="s">
        <v>69</v>
      </c>
      <c r="N9" s="5">
        <v>0.77377600000000002</v>
      </c>
      <c r="O9" s="8">
        <f t="shared" si="1"/>
        <v>1.9344400000000001E-2</v>
      </c>
      <c r="Q9" s="8">
        <f t="shared" si="2"/>
        <v>0.2</v>
      </c>
      <c r="R9" s="8">
        <f t="shared" si="3"/>
        <v>0.19517610567795857</v>
      </c>
      <c r="S9" s="8">
        <f t="shared" si="4"/>
        <v>4.8238943220414443E-3</v>
      </c>
    </row>
    <row r="10" spans="1:20">
      <c r="A10" s="5">
        <v>2.3987880000000001</v>
      </c>
      <c r="N10" s="5">
        <v>0.84257099999999996</v>
      </c>
      <c r="O10" s="8">
        <f t="shared" si="1"/>
        <v>2.1064275E-2</v>
      </c>
      <c r="Q10" s="8">
        <f t="shared" si="2"/>
        <v>0.22500000000000001</v>
      </c>
      <c r="R10" s="8">
        <f t="shared" si="3"/>
        <v>0.20871598139056607</v>
      </c>
      <c r="S10" s="8">
        <f t="shared" si="4"/>
        <v>1.6284018609433931E-2</v>
      </c>
    </row>
    <row r="11" spans="1:20">
      <c r="A11" s="5">
        <v>2.7692519999999998</v>
      </c>
      <c r="N11" s="5">
        <v>0.86661699999999997</v>
      </c>
      <c r="O11" s="8">
        <f t="shared" si="1"/>
        <v>2.1665424999999999E-2</v>
      </c>
      <c r="Q11" s="8">
        <f t="shared" si="2"/>
        <v>0.25</v>
      </c>
      <c r="R11" s="8">
        <f t="shared" si="3"/>
        <v>0.21357613765215094</v>
      </c>
      <c r="S11" s="8">
        <f t="shared" si="4"/>
        <v>3.6423862347849056E-2</v>
      </c>
    </row>
    <row r="12" spans="1:20">
      <c r="A12" s="5">
        <v>19.057469999999999</v>
      </c>
      <c r="N12" s="5">
        <v>0.97409500000000004</v>
      </c>
      <c r="O12" s="8">
        <f t="shared" si="1"/>
        <v>2.4352375000000002E-2</v>
      </c>
      <c r="Q12" s="8">
        <f t="shared" si="2"/>
        <v>0.27500000000000002</v>
      </c>
      <c r="R12" s="8">
        <f t="shared" si="3"/>
        <v>0.23608992669705481</v>
      </c>
      <c r="S12" s="8">
        <f t="shared" si="4"/>
        <v>3.8910073302945214E-2</v>
      </c>
    </row>
    <row r="13" spans="1:20">
      <c r="A13" s="5">
        <v>4.4415319999999996</v>
      </c>
      <c r="N13" s="5">
        <v>0.98558999999999997</v>
      </c>
      <c r="O13" s="8">
        <f t="shared" si="1"/>
        <v>2.4639749999999998E-2</v>
      </c>
      <c r="Q13" s="8">
        <f t="shared" si="2"/>
        <v>0.3</v>
      </c>
      <c r="R13" s="8">
        <f t="shared" si="3"/>
        <v>0.23857288098592747</v>
      </c>
      <c r="S13" s="8">
        <f t="shared" si="4"/>
        <v>6.1427119014072523E-2</v>
      </c>
    </row>
    <row r="14" spans="1:20">
      <c r="A14" s="5">
        <v>3.4801389999999999</v>
      </c>
      <c r="N14" s="5">
        <v>1.023844</v>
      </c>
      <c r="O14" s="8">
        <f t="shared" si="1"/>
        <v>2.55961E-2</v>
      </c>
      <c r="Q14" s="8">
        <f t="shared" si="2"/>
        <v>0.32500000000000001</v>
      </c>
      <c r="R14" s="8">
        <f t="shared" si="3"/>
        <v>0.24693784523341328</v>
      </c>
      <c r="S14" s="8">
        <f t="shared" si="4"/>
        <v>7.8062154766586733E-2</v>
      </c>
    </row>
    <row r="15" spans="1:20">
      <c r="A15" s="5">
        <v>1.216866</v>
      </c>
      <c r="N15" s="5">
        <v>1.0762769999999999</v>
      </c>
      <c r="O15" s="8">
        <f t="shared" si="1"/>
        <v>2.6906924999999998E-2</v>
      </c>
      <c r="Q15" s="8">
        <f t="shared" si="2"/>
        <v>0.35</v>
      </c>
      <c r="R15" s="8">
        <f t="shared" si="3"/>
        <v>0.25865358322341464</v>
      </c>
      <c r="S15" s="8">
        <f t="shared" si="4"/>
        <v>9.1346416776585337E-2</v>
      </c>
    </row>
    <row r="16" spans="1:20">
      <c r="A16" s="5">
        <v>3.0564550000000001</v>
      </c>
      <c r="N16" s="5">
        <v>1.1273519999999999</v>
      </c>
      <c r="O16" s="8">
        <f t="shared" si="1"/>
        <v>2.8183799999999998E-2</v>
      </c>
      <c r="Q16" s="8">
        <f t="shared" si="2"/>
        <v>0.375</v>
      </c>
      <c r="R16" s="8">
        <f t="shared" si="3"/>
        <v>0.27033649183232533</v>
      </c>
      <c r="S16" s="8">
        <f t="shared" si="4"/>
        <v>0.10466350816767467</v>
      </c>
    </row>
    <row r="17" spans="1:19">
      <c r="A17" s="5">
        <v>4.4248450000000004</v>
      </c>
      <c r="N17" s="5">
        <v>1.216866</v>
      </c>
      <c r="O17" s="8">
        <f t="shared" si="1"/>
        <v>3.0421650000000001E-2</v>
      </c>
      <c r="Q17" s="8">
        <f t="shared" si="2"/>
        <v>0.4</v>
      </c>
      <c r="R17" s="8">
        <f t="shared" si="3"/>
        <v>0.291428322316307</v>
      </c>
      <c r="S17" s="8">
        <f t="shared" si="4"/>
        <v>0.10857167768369302</v>
      </c>
    </row>
    <row r="18" spans="1:19">
      <c r="A18" s="5">
        <v>1.023844</v>
      </c>
      <c r="N18" s="5">
        <v>1.3292060000000001</v>
      </c>
      <c r="O18" s="8">
        <f t="shared" si="1"/>
        <v>3.323015E-2</v>
      </c>
      <c r="Q18" s="8">
        <f t="shared" si="2"/>
        <v>0.42499999999999999</v>
      </c>
      <c r="R18" s="8">
        <f t="shared" si="3"/>
        <v>0.31893444643380342</v>
      </c>
      <c r="S18" s="8">
        <f t="shared" si="4"/>
        <v>0.10606555356619657</v>
      </c>
    </row>
    <row r="19" spans="1:19">
      <c r="A19" s="5">
        <v>4.4788709999999998</v>
      </c>
      <c r="N19" s="5">
        <v>1.3554390000000001</v>
      </c>
      <c r="O19" s="8">
        <f t="shared" si="1"/>
        <v>3.3885974999999999E-2</v>
      </c>
      <c r="Q19" s="8">
        <f t="shared" si="2"/>
        <v>0.45</v>
      </c>
      <c r="R19" s="8">
        <f t="shared" si="3"/>
        <v>0.32551161059307832</v>
      </c>
      <c r="S19" s="8">
        <f t="shared" si="4"/>
        <v>0.1244883894069217</v>
      </c>
    </row>
    <row r="20" spans="1:19">
      <c r="A20" s="5">
        <v>3.055933</v>
      </c>
      <c r="N20" s="5">
        <v>1.379643</v>
      </c>
      <c r="O20" s="8">
        <f t="shared" si="1"/>
        <v>3.4491074999999996E-2</v>
      </c>
      <c r="Q20" s="8">
        <f t="shared" si="2"/>
        <v>0.47499999999999998</v>
      </c>
      <c r="R20" s="8">
        <f t="shared" si="3"/>
        <v>0.33162869730004596</v>
      </c>
      <c r="S20" s="8">
        <f t="shared" si="4"/>
        <v>0.14337130269995402</v>
      </c>
    </row>
    <row r="21" spans="1:19">
      <c r="A21" s="5">
        <v>0.77377600000000002</v>
      </c>
      <c r="N21" s="5">
        <v>1.4106650000000001</v>
      </c>
      <c r="O21" s="8">
        <f t="shared" si="1"/>
        <v>3.5266625000000003E-2</v>
      </c>
      <c r="Q21" s="8">
        <f t="shared" si="2"/>
        <v>0.5</v>
      </c>
      <c r="R21" s="8">
        <f t="shared" si="3"/>
        <v>0.33953484453426019</v>
      </c>
      <c r="S21" s="8">
        <f t="shared" si="4"/>
        <v>0.16046515546573981</v>
      </c>
    </row>
    <row r="22" spans="1:19">
      <c r="A22" s="5">
        <v>2.8843070000000002</v>
      </c>
      <c r="N22" s="5">
        <v>1.629208</v>
      </c>
      <c r="O22" s="8">
        <f t="shared" si="1"/>
        <v>4.0730200000000001E-2</v>
      </c>
      <c r="Q22" s="8">
        <f t="shared" si="2"/>
        <v>0.52500000000000002</v>
      </c>
      <c r="R22" s="8">
        <f t="shared" si="3"/>
        <v>0.39706527812807912</v>
      </c>
      <c r="S22" s="8">
        <f t="shared" si="4"/>
        <v>0.1279347218719209</v>
      </c>
    </row>
    <row r="23" spans="1:19">
      <c r="A23" s="5">
        <v>2.7685249999999999</v>
      </c>
      <c r="N23" s="5">
        <v>1.7227969999999999</v>
      </c>
      <c r="O23" s="8">
        <f t="shared" si="1"/>
        <v>4.3069924999999995E-2</v>
      </c>
      <c r="Q23" s="8">
        <f t="shared" si="2"/>
        <v>0.55000000000000004</v>
      </c>
      <c r="R23" s="8">
        <f t="shared" si="3"/>
        <v>0.42249173988638128</v>
      </c>
      <c r="S23" s="8">
        <f t="shared" si="4"/>
        <v>0.12750826011361877</v>
      </c>
    </row>
    <row r="24" spans="1:19">
      <c r="A24" s="5">
        <v>4.5973300000000004</v>
      </c>
      <c r="N24" s="5">
        <v>2.0723590000000001</v>
      </c>
      <c r="O24" s="8">
        <f t="shared" si="1"/>
        <v>5.1808975E-2</v>
      </c>
      <c r="Q24" s="8">
        <f t="shared" si="2"/>
        <v>0.57499999999999996</v>
      </c>
      <c r="R24" s="8">
        <f t="shared" si="3"/>
        <v>0.51948215201129466</v>
      </c>
      <c r="S24" s="8">
        <f t="shared" si="4"/>
        <v>5.5517847988705293E-2</v>
      </c>
    </row>
    <row r="25" spans="1:19">
      <c r="A25" s="5">
        <v>4.4784959999999998</v>
      </c>
      <c r="N25" s="5">
        <v>2.2068050000000001</v>
      </c>
      <c r="O25" s="8">
        <f t="shared" si="1"/>
        <v>5.5170125E-2</v>
      </c>
      <c r="Q25" s="8">
        <f t="shared" si="2"/>
        <v>0.6</v>
      </c>
      <c r="R25" s="8">
        <f t="shared" si="3"/>
        <v>0.55679348499001324</v>
      </c>
      <c r="S25" s="8">
        <f t="shared" si="4"/>
        <v>4.3206515009986735E-2</v>
      </c>
    </row>
    <row r="26" spans="1:19">
      <c r="A26" s="5">
        <v>4.5389850000000003</v>
      </c>
      <c r="N26" s="5">
        <v>2.2166769999999998</v>
      </c>
      <c r="O26" s="8">
        <f t="shared" si="1"/>
        <v>5.5416924999999992E-2</v>
      </c>
      <c r="Q26" s="8">
        <f t="shared" si="2"/>
        <v>0.625</v>
      </c>
      <c r="R26" s="8">
        <f t="shared" si="3"/>
        <v>0.55951745957588417</v>
      </c>
      <c r="S26" s="8">
        <f t="shared" si="4"/>
        <v>6.5482540424115832E-2</v>
      </c>
    </row>
    <row r="27" spans="1:19">
      <c r="A27" s="5">
        <v>2.2068050000000001</v>
      </c>
      <c r="N27" s="5">
        <v>2.3987880000000001</v>
      </c>
      <c r="O27" s="8">
        <f t="shared" si="1"/>
        <v>5.9969700000000001E-2</v>
      </c>
      <c r="Q27" s="8">
        <f t="shared" si="2"/>
        <v>0.65</v>
      </c>
      <c r="R27" s="8">
        <f t="shared" si="3"/>
        <v>0.60913251618148212</v>
      </c>
      <c r="S27" s="8">
        <f t="shared" si="4"/>
        <v>4.0867483818517902E-2</v>
      </c>
    </row>
    <row r="28" spans="1:19">
      <c r="A28" s="5">
        <v>1.7227969999999999</v>
      </c>
      <c r="N28" s="5">
        <v>2.5623619999999998</v>
      </c>
      <c r="O28" s="8">
        <f t="shared" si="1"/>
        <v>6.4059049999999992E-2</v>
      </c>
      <c r="Q28" s="8">
        <f t="shared" si="2"/>
        <v>0.67500000000000004</v>
      </c>
      <c r="R28" s="8">
        <f t="shared" si="3"/>
        <v>0.65225383528616643</v>
      </c>
      <c r="S28" s="8">
        <f t="shared" si="4"/>
        <v>2.2746164713833616E-2</v>
      </c>
    </row>
    <row r="29" spans="1:19">
      <c r="A29" s="5">
        <v>1.379643</v>
      </c>
      <c r="N29" s="5">
        <v>2.7685249999999999</v>
      </c>
      <c r="O29" s="8">
        <f t="shared" si="1"/>
        <v>6.9213125E-2</v>
      </c>
      <c r="Q29" s="8">
        <f t="shared" si="2"/>
        <v>0.7</v>
      </c>
      <c r="R29" s="8">
        <f t="shared" si="3"/>
        <v>0.70386175881127366</v>
      </c>
      <c r="S29" s="8">
        <f t="shared" si="4"/>
        <v>3.8617588112737078E-3</v>
      </c>
    </row>
    <row r="30" spans="1:19">
      <c r="A30" s="5">
        <v>1.1273519999999999</v>
      </c>
      <c r="N30" s="5">
        <v>2.7692519999999998</v>
      </c>
      <c r="O30" s="8">
        <f t="shared" si="1"/>
        <v>6.9231299999999996E-2</v>
      </c>
      <c r="Q30" s="8">
        <f t="shared" si="2"/>
        <v>0.72499999999999998</v>
      </c>
      <c r="R30" s="8">
        <f t="shared" si="3"/>
        <v>0.70403740671700332</v>
      </c>
      <c r="S30" s="8">
        <f t="shared" si="4"/>
        <v>2.0962593282996655E-2</v>
      </c>
    </row>
    <row r="31" spans="1:19">
      <c r="A31" s="5">
        <v>6.1034759999999997</v>
      </c>
      <c r="N31" s="5">
        <v>2.8843070000000002</v>
      </c>
      <c r="O31" s="8">
        <f t="shared" si="1"/>
        <v>7.210767500000001E-2</v>
      </c>
      <c r="Q31" s="8">
        <f t="shared" si="2"/>
        <v>0.75</v>
      </c>
      <c r="R31" s="8">
        <f t="shared" si="3"/>
        <v>0.73121198644795993</v>
      </c>
      <c r="S31" s="8">
        <f t="shared" si="4"/>
        <v>1.8788013552040073E-2</v>
      </c>
    </row>
    <row r="32" spans="1:19">
      <c r="A32" s="5">
        <v>1.3554390000000001</v>
      </c>
      <c r="N32" s="5">
        <v>3.055933</v>
      </c>
      <c r="O32" s="8">
        <f t="shared" si="1"/>
        <v>7.6398325000000003E-2</v>
      </c>
      <c r="Q32" s="8">
        <f t="shared" si="2"/>
        <v>0.77500000000000002</v>
      </c>
      <c r="R32" s="8">
        <f t="shared" si="3"/>
        <v>0.76927627150827416</v>
      </c>
      <c r="S32" s="8">
        <f t="shared" si="4"/>
        <v>5.7237284917258657E-3</v>
      </c>
    </row>
    <row r="33" spans="1:19">
      <c r="A33" s="5">
        <v>12.861689999999999</v>
      </c>
      <c r="N33" s="5">
        <v>3.0564550000000001</v>
      </c>
      <c r="O33" s="8">
        <f t="shared" si="1"/>
        <v>7.6411375000000004E-2</v>
      </c>
      <c r="Q33" s="8">
        <f t="shared" si="2"/>
        <v>0.8</v>
      </c>
      <c r="R33" s="8">
        <f t="shared" si="3"/>
        <v>0.76938726095800303</v>
      </c>
      <c r="S33" s="8">
        <f t="shared" si="4"/>
        <v>3.0612739041997017E-2</v>
      </c>
    </row>
    <row r="34" spans="1:19">
      <c r="A34" s="5">
        <v>1.3292060000000001</v>
      </c>
      <c r="N34" s="5">
        <v>3.4801389999999999</v>
      </c>
      <c r="O34" s="8">
        <f t="shared" si="1"/>
        <v>8.7003474999999997E-2</v>
      </c>
      <c r="Q34" s="8">
        <f t="shared" si="2"/>
        <v>0.82499999999999996</v>
      </c>
      <c r="R34" s="8">
        <f t="shared" si="3"/>
        <v>0.84920407477592108</v>
      </c>
      <c r="S34" s="8">
        <f t="shared" si="4"/>
        <v>2.4204074775921125E-2</v>
      </c>
    </row>
    <row r="35" spans="1:19">
      <c r="A35" s="5">
        <v>0.86661699999999997</v>
      </c>
      <c r="N35" s="5">
        <v>3.9093979999999999</v>
      </c>
      <c r="O35" s="8">
        <f t="shared" si="1"/>
        <v>9.7734950000000001E-2</v>
      </c>
      <c r="Q35" s="8">
        <f t="shared" si="2"/>
        <v>0.85</v>
      </c>
      <c r="R35" s="8">
        <f t="shared" si="3"/>
        <v>0.90875354361397775</v>
      </c>
      <c r="S35" s="8">
        <f t="shared" si="4"/>
        <v>5.8753543613977777E-2</v>
      </c>
    </row>
    <row r="36" spans="1:19">
      <c r="A36" s="5">
        <v>3.9093979999999999</v>
      </c>
      <c r="N36" s="5">
        <v>4.4248450000000004</v>
      </c>
      <c r="O36" s="8">
        <f t="shared" si="1"/>
        <v>0.11062112500000001</v>
      </c>
      <c r="Q36" s="8">
        <f t="shared" si="2"/>
        <v>0.875</v>
      </c>
      <c r="R36" s="8">
        <f t="shared" si="3"/>
        <v>0.95481649322178674</v>
      </c>
      <c r="S36" s="8">
        <f t="shared" si="4"/>
        <v>7.9816493221786744E-2</v>
      </c>
    </row>
    <row r="37" spans="1:19">
      <c r="A37" s="5">
        <v>7.6067169999999997</v>
      </c>
      <c r="N37" s="5">
        <v>4.4415319999999996</v>
      </c>
      <c r="O37" s="8">
        <f t="shared" si="1"/>
        <v>0.11103829999999999</v>
      </c>
      <c r="Q37" s="8">
        <f t="shared" si="2"/>
        <v>0.9</v>
      </c>
      <c r="R37" s="8">
        <f t="shared" si="3"/>
        <v>0.95591497263741321</v>
      </c>
      <c r="S37" s="8">
        <f t="shared" si="4"/>
        <v>5.5914972637413185E-2</v>
      </c>
    </row>
    <row r="38" spans="1:19">
      <c r="A38" s="5">
        <v>0.18941</v>
      </c>
      <c r="N38" s="5">
        <v>4.4784959999999998</v>
      </c>
      <c r="O38" s="8">
        <f t="shared" si="1"/>
        <v>0.11196239999999999</v>
      </c>
      <c r="Q38" s="8">
        <f t="shared" si="2"/>
        <v>0.92500000000000004</v>
      </c>
      <c r="R38" s="8">
        <f t="shared" si="3"/>
        <v>0.95827162286689604</v>
      </c>
      <c r="S38" s="8">
        <f t="shared" si="4"/>
        <v>3.3271622866896E-2</v>
      </c>
    </row>
    <row r="39" spans="1:19">
      <c r="A39" s="5">
        <v>0.24934100000000001</v>
      </c>
      <c r="N39" s="5">
        <v>4.4788709999999998</v>
      </c>
      <c r="O39" s="8">
        <f t="shared" si="1"/>
        <v>0.111971775</v>
      </c>
      <c r="Q39" s="8">
        <f t="shared" si="2"/>
        <v>0.95</v>
      </c>
      <c r="R39" s="8">
        <f t="shared" si="3"/>
        <v>0.95829499769512227</v>
      </c>
      <c r="S39" s="8">
        <f t="shared" si="4"/>
        <v>8.2949976951223192E-3</v>
      </c>
    </row>
    <row r="40" spans="1:19">
      <c r="A40" s="5">
        <v>0.98558999999999997</v>
      </c>
      <c r="N40" s="5">
        <v>4.5389850000000003</v>
      </c>
      <c r="O40" s="8">
        <f t="shared" si="1"/>
        <v>0.11347462500000001</v>
      </c>
      <c r="Q40" s="8">
        <f t="shared" si="2"/>
        <v>0.97499999999999998</v>
      </c>
      <c r="R40" s="8">
        <f t="shared" si="3"/>
        <v>0.96190714784438258</v>
      </c>
      <c r="S40" s="8">
        <f t="shared" si="4"/>
        <v>1.3092852155617396E-2</v>
      </c>
    </row>
    <row r="41" spans="1:19">
      <c r="A41" s="5">
        <v>5.3809079999999998</v>
      </c>
      <c r="N41" s="5">
        <v>4.5973300000000004</v>
      </c>
      <c r="O41" s="8">
        <f t="shared" si="1"/>
        <v>0.11493325000000001</v>
      </c>
      <c r="Q41" s="8">
        <f t="shared" si="2"/>
        <v>1</v>
      </c>
      <c r="R41" s="8">
        <f t="shared" si="3"/>
        <v>0.96516485240373739</v>
      </c>
      <c r="S41" s="8">
        <f t="shared" si="4"/>
        <v>3.4835147596262606E-2</v>
      </c>
    </row>
    <row r="42" spans="1:19">
      <c r="A42" s="5">
        <v>6.0068919999999997</v>
      </c>
      <c r="N42" s="5">
        <v>5.3705249999999998</v>
      </c>
    </row>
    <row r="43" spans="1:19">
      <c r="A43" s="5">
        <v>2.2166769999999998</v>
      </c>
      <c r="N43" s="5">
        <v>5.3809079999999998</v>
      </c>
    </row>
    <row r="44" spans="1:19">
      <c r="A44" s="5">
        <v>10.20889</v>
      </c>
      <c r="N44" s="5">
        <v>6.0068919999999997</v>
      </c>
    </row>
    <row r="45" spans="1:19">
      <c r="A45" s="5">
        <v>2.5623619999999998</v>
      </c>
      <c r="N45" s="5">
        <v>6.1034759999999997</v>
      </c>
    </row>
    <row r="46" spans="1:19">
      <c r="A46" s="5">
        <v>0.71518499999999996</v>
      </c>
      <c r="N46" s="5">
        <v>6.4454859999999998</v>
      </c>
    </row>
    <row r="47" spans="1:19">
      <c r="A47" s="5">
        <v>0.84257099999999996</v>
      </c>
      <c r="N47" s="5">
        <v>7.6067169999999997</v>
      </c>
    </row>
    <row r="48" spans="1:19">
      <c r="A48" s="5">
        <v>12.24911</v>
      </c>
      <c r="N48" s="5">
        <v>10.20889</v>
      </c>
    </row>
    <row r="49" spans="1:14">
      <c r="A49" s="5">
        <v>1.629208</v>
      </c>
      <c r="N49" s="5">
        <v>12.24911</v>
      </c>
    </row>
    <row r="50" spans="1:14">
      <c r="A50" s="5">
        <v>0.293711</v>
      </c>
      <c r="N50" s="5">
        <v>12.861689999999999</v>
      </c>
    </row>
    <row r="51" spans="1:14">
      <c r="A51" s="5">
        <v>8.1724000000000005E-2</v>
      </c>
      <c r="N51" s="5">
        <v>19.057469999999999</v>
      </c>
    </row>
  </sheetData>
  <sortState ref="N2:N51">
    <sortCondition ref="N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G1" workbookViewId="0">
      <selection activeCell="N11" sqref="N11"/>
    </sheetView>
  </sheetViews>
  <sheetFormatPr defaultRowHeight="14.4"/>
  <cols>
    <col min="1" max="16384" width="8.88671875" style="8"/>
  </cols>
  <sheetData>
    <row r="1" spans="1:12">
      <c r="A1" s="15" t="s">
        <v>42</v>
      </c>
      <c r="B1" s="8" t="s">
        <v>43</v>
      </c>
      <c r="C1" s="8" t="s">
        <v>44</v>
      </c>
      <c r="D1" s="8" t="s">
        <v>17</v>
      </c>
      <c r="E1" s="8" t="s">
        <v>45</v>
      </c>
      <c r="F1" s="8" t="s">
        <v>46</v>
      </c>
      <c r="G1" s="8" t="s">
        <v>47</v>
      </c>
      <c r="I1" s="8" t="s">
        <v>48</v>
      </c>
      <c r="J1" s="8" t="s">
        <v>49</v>
      </c>
      <c r="K1" s="8" t="s">
        <v>51</v>
      </c>
    </row>
    <row r="2" spans="1:12">
      <c r="A2" s="8">
        <v>55.907467879268779</v>
      </c>
      <c r="B2" s="8">
        <f>MIN(A2:A41)</f>
        <v>30.550248725852228</v>
      </c>
      <c r="C2" s="8">
        <f>MAX(A2:A41)</f>
        <v>59.18424024170659</v>
      </c>
      <c r="D2" s="8">
        <f>1 + 3.322 *LOG10(COUNT(A2:A41))</f>
        <v>6.3220432911914912</v>
      </c>
      <c r="E2" s="8">
        <f>(C2- B2) / D2</f>
        <v>4.5292305346516892</v>
      </c>
      <c r="F2" s="8">
        <f>B2</f>
        <v>30.550248725852228</v>
      </c>
      <c r="G2" s="8">
        <f t="array" ref="G2:G8">FREQUENCY(A2:A41, F2:F8)</f>
        <v>1</v>
      </c>
      <c r="H2" s="8">
        <f>COUNT(A2:A41) / D2</f>
        <v>6.3270683476229967</v>
      </c>
      <c r="I2" s="8">
        <f>(G2 - $H$2)^2 / $H$2</f>
        <v>4.4851194299027837</v>
      </c>
      <c r="J2" s="8">
        <f>_xlfn.CHISQ.INV.RT(0.05, 3)</f>
        <v>7.8147279032511792</v>
      </c>
      <c r="K2" s="8">
        <f>SUM(I2:I7)</f>
        <v>11.305247320141181</v>
      </c>
      <c r="L2" s="8" t="s">
        <v>52</v>
      </c>
    </row>
    <row r="3" spans="1:12">
      <c r="A3" s="8">
        <v>55.404828028199105</v>
      </c>
      <c r="F3" s="8">
        <f>F2+$E$2</f>
        <v>35.079479260503916</v>
      </c>
      <c r="G3" s="8">
        <v>10</v>
      </c>
      <c r="H3" s="8">
        <f>COUNT(A2:A41) / D2</f>
        <v>6.3270683476229967</v>
      </c>
      <c r="I3" s="8">
        <f t="shared" ref="I3:I7" si="0">(G3 - $H$2)^2 / $H$2</f>
        <v>2.1321765756017248</v>
      </c>
    </row>
    <row r="4" spans="1:12">
      <c r="A4" s="8">
        <v>48.312021240882594</v>
      </c>
      <c r="D4" s="8">
        <f>COUNT(A2:A41)</f>
        <v>40</v>
      </c>
      <c r="F4" s="8">
        <f t="shared" ref="F4:F7" si="1">F3+$E$2</f>
        <v>39.608709795155605</v>
      </c>
      <c r="G4" s="8">
        <v>6</v>
      </c>
      <c r="H4" s="8">
        <f>COUNT(A2:A41) / D2</f>
        <v>6.3270683476229967</v>
      </c>
      <c r="I4" s="8">
        <f t="shared" si="0"/>
        <v>1.6907309695338785E-2</v>
      </c>
    </row>
    <row r="5" spans="1:12">
      <c r="A5" s="8">
        <v>33.796807763908809</v>
      </c>
      <c r="F5" s="8">
        <f t="shared" si="1"/>
        <v>44.137940329807293</v>
      </c>
      <c r="G5" s="8">
        <v>2</v>
      </c>
      <c r="H5" s="8">
        <f>COUNT(A2:A41) / D2</f>
        <v>6.3270683476229967</v>
      </c>
      <c r="I5" s="8">
        <f t="shared" si="0"/>
        <v>2.9592726767421458</v>
      </c>
    </row>
    <row r="6" spans="1:12">
      <c r="A6" s="8">
        <v>54.503921628467666</v>
      </c>
      <c r="F6" s="8">
        <f t="shared" si="1"/>
        <v>48.667170864458981</v>
      </c>
      <c r="G6" s="8">
        <v>4</v>
      </c>
      <c r="H6" s="8">
        <f>COUNT(A2:A41) / D2</f>
        <v>6.3270683476229967</v>
      </c>
      <c r="I6" s="8">
        <f t="shared" si="0"/>
        <v>0.85588566409959321</v>
      </c>
    </row>
    <row r="7" spans="1:12">
      <c r="A7" s="8">
        <v>46.523026215399639</v>
      </c>
      <c r="F7" s="8">
        <f t="shared" si="1"/>
        <v>53.19640139911067</v>
      </c>
      <c r="G7" s="8">
        <v>4</v>
      </c>
      <c r="H7" s="8">
        <f>COUNT(A2:A41)/D2</f>
        <v>6.3270683476229967</v>
      </c>
      <c r="I7" s="8">
        <f t="shared" si="0"/>
        <v>0.85588566409959321</v>
      </c>
    </row>
    <row r="8" spans="1:12">
      <c r="A8" s="8">
        <v>56.161992248298588</v>
      </c>
      <c r="F8" s="8">
        <f>C2</f>
        <v>59.18424024170659</v>
      </c>
      <c r="G8" s="8">
        <v>13</v>
      </c>
    </row>
    <row r="9" spans="1:12">
      <c r="A9" s="8">
        <v>30.826746421704765</v>
      </c>
      <c r="G9" s="8">
        <f>SUM(G2:G8)</f>
        <v>40</v>
      </c>
      <c r="I9" s="8" t="s">
        <v>50</v>
      </c>
    </row>
    <row r="10" spans="1:12">
      <c r="A10" s="8">
        <v>49.080172124393442</v>
      </c>
      <c r="I10" s="16"/>
    </row>
    <row r="11" spans="1:12">
      <c r="A11" s="8">
        <v>53.588366344187747</v>
      </c>
    </row>
    <row r="12" spans="1:12">
      <c r="A12" s="8">
        <v>39.200415051728875</v>
      </c>
    </row>
    <row r="13" spans="1:12">
      <c r="A13" s="8">
        <v>49.141514328440195</v>
      </c>
    </row>
    <row r="14" spans="1:12">
      <c r="A14" s="8">
        <v>31.43192846461379</v>
      </c>
    </row>
    <row r="15" spans="1:12">
      <c r="A15" s="8">
        <v>55.877254554887543</v>
      </c>
    </row>
    <row r="16" spans="1:12">
      <c r="A16" s="8">
        <v>30.608844264046144</v>
      </c>
    </row>
    <row r="17" spans="1:1">
      <c r="A17" s="8">
        <v>31.167332987456891</v>
      </c>
    </row>
    <row r="18" spans="1:1">
      <c r="A18" s="8">
        <v>33.373821222571493</v>
      </c>
    </row>
    <row r="19" spans="1:1">
      <c r="A19" s="8">
        <v>35.655384990997042</v>
      </c>
    </row>
    <row r="20" spans="1:1">
      <c r="A20" s="8">
        <v>45.455488753929259</v>
      </c>
    </row>
    <row r="21" spans="1:1">
      <c r="A21" s="8">
        <v>31.090426343577381</v>
      </c>
    </row>
    <row r="22" spans="1:1">
      <c r="A22" s="8">
        <v>59.18424024170659</v>
      </c>
    </row>
    <row r="23" spans="1:1">
      <c r="A23" s="8">
        <v>34.597003082369454</v>
      </c>
    </row>
    <row r="24" spans="1:1">
      <c r="A24" s="8">
        <v>50.202642902920616</v>
      </c>
    </row>
    <row r="25" spans="1:1">
      <c r="A25" s="8">
        <v>40.08484145634327</v>
      </c>
    </row>
    <row r="26" spans="1:1">
      <c r="A26" s="8">
        <v>58.654133732108527</v>
      </c>
    </row>
    <row r="27" spans="1:1">
      <c r="A27" s="8">
        <v>58.378551591540273</v>
      </c>
    </row>
    <row r="28" spans="1:1">
      <c r="A28" s="8">
        <v>57.660756248664811</v>
      </c>
    </row>
    <row r="29" spans="1:1">
      <c r="A29" s="8">
        <v>35.198522904141363</v>
      </c>
    </row>
    <row r="30" spans="1:1">
      <c r="A30" s="8">
        <v>39.184850611896117</v>
      </c>
    </row>
    <row r="31" spans="1:1">
      <c r="A31" s="8">
        <v>44.145329142124694</v>
      </c>
    </row>
    <row r="32" spans="1:1">
      <c r="A32" s="8">
        <v>33.331705679494611</v>
      </c>
    </row>
    <row r="33" spans="1:1">
      <c r="A33" s="8">
        <v>54.083681752983182</v>
      </c>
    </row>
    <row r="34" spans="1:1">
      <c r="A34" s="8">
        <v>40.359508041627251</v>
      </c>
    </row>
    <row r="35" spans="1:1">
      <c r="A35" s="8">
        <v>30.550248725852228</v>
      </c>
    </row>
    <row r="36" spans="1:1">
      <c r="A36" s="8">
        <v>34.074221015045623</v>
      </c>
    </row>
    <row r="37" spans="1:1">
      <c r="A37" s="8">
        <v>52.744224372081668</v>
      </c>
    </row>
    <row r="38" spans="1:1">
      <c r="A38" s="8">
        <v>39.433881649220254</v>
      </c>
    </row>
    <row r="39" spans="1:1">
      <c r="A39" s="8">
        <v>55.019379253517258</v>
      </c>
    </row>
    <row r="40" spans="1:1">
      <c r="A40" s="8">
        <v>55.028534806360057</v>
      </c>
    </row>
    <row r="41" spans="1:1">
      <c r="A41" s="8">
        <v>38.503677480391858</v>
      </c>
    </row>
    <row r="42" spans="1:1">
      <c r="A42" s="8">
        <v>51.186864833521533</v>
      </c>
    </row>
    <row r="43" spans="1:1">
      <c r="A43" s="8">
        <v>37.958006530961029</v>
      </c>
    </row>
    <row r="44" spans="1:1">
      <c r="A44" s="8">
        <v>35.746024964140751</v>
      </c>
    </row>
    <row r="45" spans="1:1">
      <c r="A45" s="8">
        <v>55.380108035523548</v>
      </c>
    </row>
    <row r="46" spans="1:1">
      <c r="A46" s="8">
        <v>40.555436872463147</v>
      </c>
    </row>
    <row r="47" spans="1:1">
      <c r="A47" s="8">
        <v>48.588518936735127</v>
      </c>
    </row>
    <row r="48" spans="1:1">
      <c r="A48" s="8">
        <v>41.453596606341748</v>
      </c>
    </row>
    <row r="49" spans="1:1">
      <c r="A49" s="8">
        <v>34.038514358958707</v>
      </c>
    </row>
    <row r="50" spans="1:1">
      <c r="A50" s="8">
        <v>31.51249732963042</v>
      </c>
    </row>
    <row r="51" spans="1:1">
      <c r="A51" s="8">
        <v>42.078920865504926</v>
      </c>
    </row>
  </sheetData>
  <pageMargins left="0.7" right="0.7" top="0.75" bottom="0.75" header="0.3" footer="0.3"/>
  <pageSetup paperSize="9" orientation="portrait" r:id="rId1"/>
  <ignoredErrors>
    <ignoredError sqref="B2:D2 H3:H6 D4 H7 H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topLeftCell="M1" workbookViewId="0">
      <selection activeCell="Q9" sqref="Q9"/>
    </sheetView>
  </sheetViews>
  <sheetFormatPr defaultRowHeight="14.4"/>
  <cols>
    <col min="1" max="15" width="8.88671875" style="8"/>
    <col min="16" max="16" width="14.109375" style="8" customWidth="1"/>
    <col min="17" max="17" width="22" style="8" customWidth="1"/>
    <col min="18" max="16384" width="8.88671875" style="8"/>
  </cols>
  <sheetData>
    <row r="1" spans="1:18">
      <c r="A1" s="15" t="s">
        <v>54</v>
      </c>
      <c r="B1" s="8" t="s">
        <v>53</v>
      </c>
      <c r="C1" s="8" t="s">
        <v>55</v>
      </c>
      <c r="D1" s="8" t="s">
        <v>43</v>
      </c>
      <c r="E1" s="8" t="s">
        <v>44</v>
      </c>
      <c r="F1" s="8" t="s">
        <v>56</v>
      </c>
      <c r="G1" s="8" t="s">
        <v>46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49</v>
      </c>
      <c r="M1" s="15" t="s">
        <v>62</v>
      </c>
      <c r="N1" s="8" t="s">
        <v>63</v>
      </c>
      <c r="O1" s="8" t="s">
        <v>64</v>
      </c>
      <c r="P1" s="15" t="s">
        <v>65</v>
      </c>
      <c r="Q1" s="8" t="s">
        <v>66</v>
      </c>
    </row>
    <row r="2" spans="1:18">
      <c r="A2" s="8">
        <v>55.907467879268779</v>
      </c>
      <c r="B2" s="8">
        <f>COUNT(A2:A41)</f>
        <v>40</v>
      </c>
      <c r="C2" s="8">
        <f>1/AVERAGE(A2:A41)</f>
        <v>2.2503165548530546E-2</v>
      </c>
      <c r="D2" s="8">
        <f>MIN(A2:A41)</f>
        <v>30.550248725852228</v>
      </c>
      <c r="E2" s="8">
        <f>MAX(A2:A41)</f>
        <v>59.18424024170659</v>
      </c>
      <c r="F2" s="8">
        <f>1+3.322*LOG10(COUNT(A2:A41))</f>
        <v>6.3220432911914912</v>
      </c>
      <c r="G2" s="8">
        <f>D2</f>
        <v>30.550248725852228</v>
      </c>
      <c r="H2" s="8">
        <f>COUNTIF($A$2:$A$41, "&lt;" &amp;   G3) - COUNTIF($A$2:$A$41, "&lt;" &amp; G2)</f>
        <v>11</v>
      </c>
      <c r="I2" s="8">
        <f>(EXP(-$C$2*G2) - EXP(-$C$2*G3))*40</f>
        <v>1.9490200616293318</v>
      </c>
      <c r="J2" s="8">
        <f>(H2 - I2)^2 / I2</f>
        <v>42.031500576913018</v>
      </c>
      <c r="K2" s="8">
        <f>SUM(J2:J8)</f>
        <v>131.52644739478961</v>
      </c>
      <c r="L2" s="8">
        <f>_xlfn.CHISQ.INV.RT(0.05, 6-2)</f>
        <v>9.4877290367811575</v>
      </c>
      <c r="M2" s="8">
        <v>30.550248725852228</v>
      </c>
      <c r="N2" s="8">
        <f xml:space="preserve"> (ROW() - 1) / 40</f>
        <v>2.5000000000000001E-2</v>
      </c>
      <c r="O2" s="8">
        <f>1 - EXP(-$C$2 * M2)</f>
        <v>0.49715700994915812</v>
      </c>
      <c r="P2" s="8">
        <f>ABS(N2 - O2)</f>
        <v>0.4721570099491581</v>
      </c>
      <c r="Q2" s="8">
        <f>MAX(P2:P41)</f>
        <v>0.47281961427556096</v>
      </c>
      <c r="R2" s="8" t="str">
        <f>IF(Q2 &lt; 0.215, "Гипотеза принимается (D_n &lt; 0,215)", "Гипотеза отвергается (D_n ≥ 0,215)")</f>
        <v>Гипотеза отвергается (D_n ≥ 0,215)</v>
      </c>
    </row>
    <row r="3" spans="1:18">
      <c r="A3" s="8">
        <v>55.404828028199105</v>
      </c>
      <c r="F3" s="8">
        <f>(E2-D2)/F2</f>
        <v>4.5292305346516892</v>
      </c>
      <c r="G3" s="8">
        <f>G2+$F$3</f>
        <v>35.079479260503916</v>
      </c>
      <c r="H3" s="8">
        <f t="shared" ref="H3:H8" si="0">COUNTIF($A$2:$A$41, "&lt;" &amp;   G4) - COUNTIF($A$2:$A$41, "&lt;" &amp; G3)</f>
        <v>6</v>
      </c>
      <c r="I3" s="8">
        <f t="shared" ref="I3:I8" si="1">(EXP(-$C$2*G3) - EXP(-$C$2*G4))*40</f>
        <v>1.7601599563979997</v>
      </c>
      <c r="J3" s="8">
        <f t="shared" ref="J3:J8" si="2">(H3 - I3)^2 / I3</f>
        <v>10.212846582487701</v>
      </c>
      <c r="K3" s="8" t="s">
        <v>61</v>
      </c>
      <c r="M3" s="8">
        <v>30.608844264046144</v>
      </c>
      <c r="N3" s="8">
        <f t="shared" ref="N3:N41" si="3" xml:space="preserve"> (ROW() - 1) / 40</f>
        <v>0.05</v>
      </c>
      <c r="O3" s="8">
        <f t="shared" ref="O3:O41" si="4">1 - EXP(-$C$2 * M3)</f>
        <v>0.49781961427556098</v>
      </c>
      <c r="P3" s="8">
        <f>MAX(ABS(N3 - O3), ABS(N2 - O3))</f>
        <v>0.47281961427556096</v>
      </c>
    </row>
    <row r="4" spans="1:18">
      <c r="A4" s="8">
        <v>48.312021240882594</v>
      </c>
      <c r="G4" s="8">
        <f t="shared" ref="G4:G7" si="5">G3+$F$3</f>
        <v>39.608709795155605</v>
      </c>
      <c r="H4" s="8">
        <f t="shared" si="0"/>
        <v>2</v>
      </c>
      <c r="I4" s="8">
        <f t="shared" si="1"/>
        <v>1.5896004012996268</v>
      </c>
      <c r="J4" s="8">
        <f t="shared" si="2"/>
        <v>0.10595608209190438</v>
      </c>
      <c r="M4" s="8">
        <v>30.826746421704765</v>
      </c>
      <c r="N4" s="8">
        <f t="shared" si="3"/>
        <v>7.4999999999999997E-2</v>
      </c>
      <c r="O4" s="8">
        <f t="shared" si="4"/>
        <v>0.50027602252863679</v>
      </c>
      <c r="P4" s="8">
        <f t="shared" ref="P4:P41" si="6">MAX(ABS(N4 - O4), ABS(N3 - O4))</f>
        <v>0.4502760225286368</v>
      </c>
    </row>
    <row r="5" spans="1:18">
      <c r="A5" s="8">
        <v>33.796807763908809</v>
      </c>
      <c r="G5" s="8">
        <f t="shared" si="5"/>
        <v>44.137940329807293</v>
      </c>
      <c r="H5" s="8">
        <f t="shared" si="0"/>
        <v>4</v>
      </c>
      <c r="I5" s="8">
        <f t="shared" si="1"/>
        <v>1.4355680724511255</v>
      </c>
      <c r="J5" s="8">
        <f t="shared" si="2"/>
        <v>4.5809817292770205</v>
      </c>
      <c r="M5" s="8">
        <v>31.090426343577381</v>
      </c>
      <c r="N5" s="8">
        <f t="shared" si="3"/>
        <v>0.1</v>
      </c>
      <c r="O5" s="8">
        <f t="shared" si="4"/>
        <v>0.50323242141217239</v>
      </c>
      <c r="P5" s="8">
        <f t="shared" si="6"/>
        <v>0.42823242141217238</v>
      </c>
    </row>
    <row r="6" spans="1:18">
      <c r="A6" s="8">
        <v>54.503921628467666</v>
      </c>
      <c r="G6" s="8">
        <f t="shared" si="5"/>
        <v>48.667170864458981</v>
      </c>
      <c r="H6" s="8">
        <f t="shared" si="0"/>
        <v>4</v>
      </c>
      <c r="I6" s="8">
        <f t="shared" si="1"/>
        <v>1.2964614811094166</v>
      </c>
      <c r="J6" s="8">
        <f t="shared" si="2"/>
        <v>5.6377459952535416</v>
      </c>
      <c r="M6" s="8">
        <v>31.167332987456891</v>
      </c>
      <c r="N6" s="8">
        <f t="shared" si="3"/>
        <v>0.125</v>
      </c>
      <c r="O6" s="8">
        <f t="shared" si="4"/>
        <v>0.50409140520286777</v>
      </c>
      <c r="P6" s="8">
        <f t="shared" si="6"/>
        <v>0.40409140520286779</v>
      </c>
    </row>
    <row r="7" spans="1:18">
      <c r="A7" s="8">
        <v>46.523026215399639</v>
      </c>
      <c r="G7" s="8">
        <f t="shared" si="5"/>
        <v>53.19640139911067</v>
      </c>
      <c r="H7" s="8">
        <f t="shared" si="0"/>
        <v>12</v>
      </c>
      <c r="I7" s="8">
        <f t="shared" si="1"/>
        <v>1.5231903121938051</v>
      </c>
      <c r="J7" s="8">
        <f t="shared" si="2"/>
        <v>72.061606718349353</v>
      </c>
      <c r="M7" s="8">
        <v>31.43192846461379</v>
      </c>
      <c r="N7" s="8">
        <f t="shared" si="3"/>
        <v>0.15</v>
      </c>
      <c r="O7" s="8">
        <f t="shared" si="4"/>
        <v>0.50703538864079944</v>
      </c>
      <c r="P7" s="8">
        <f t="shared" si="6"/>
        <v>0.38203538864079944</v>
      </c>
    </row>
    <row r="8" spans="1:18">
      <c r="A8" s="8">
        <v>56.161992248298588</v>
      </c>
      <c r="G8" s="8">
        <f>E2</f>
        <v>59.18424024170659</v>
      </c>
      <c r="H8" s="8">
        <f t="shared" si="0"/>
        <v>-39</v>
      </c>
      <c r="I8" s="8">
        <f t="shared" si="1"/>
        <v>-29.440280683047632</v>
      </c>
      <c r="J8" s="8">
        <f t="shared" si="2"/>
        <v>-3.1041902895829261</v>
      </c>
      <c r="M8" s="8">
        <v>31.51249732963042</v>
      </c>
      <c r="N8" s="8">
        <f t="shared" si="3"/>
        <v>0.17499999999999999</v>
      </c>
      <c r="O8" s="8">
        <f t="shared" si="4"/>
        <v>0.50792835061250186</v>
      </c>
      <c r="P8" s="8">
        <f t="shared" si="6"/>
        <v>0.35792835061250183</v>
      </c>
    </row>
    <row r="9" spans="1:18">
      <c r="A9" s="8">
        <v>30.826746421704765</v>
      </c>
      <c r="M9" s="8">
        <v>33.331705679494611</v>
      </c>
      <c r="N9" s="8">
        <f t="shared" si="3"/>
        <v>0.2</v>
      </c>
      <c r="O9" s="8">
        <f t="shared" si="4"/>
        <v>0.52766598790475649</v>
      </c>
      <c r="P9" s="8">
        <f t="shared" si="6"/>
        <v>0.35266598790475651</v>
      </c>
    </row>
    <row r="10" spans="1:18">
      <c r="A10" s="8">
        <v>49.080172124393442</v>
      </c>
      <c r="M10" s="8">
        <v>33.373821222571493</v>
      </c>
      <c r="N10" s="8">
        <f t="shared" si="3"/>
        <v>0.22500000000000001</v>
      </c>
      <c r="O10" s="8">
        <f t="shared" si="4"/>
        <v>0.52811342239528725</v>
      </c>
      <c r="P10" s="8">
        <f t="shared" si="6"/>
        <v>0.32811342239528724</v>
      </c>
    </row>
    <row r="11" spans="1:18">
      <c r="A11" s="8">
        <v>53.588366344187747</v>
      </c>
      <c r="M11" s="8">
        <v>33.796807763908809</v>
      </c>
      <c r="N11" s="8">
        <f t="shared" si="3"/>
        <v>0.25</v>
      </c>
      <c r="O11" s="8">
        <f t="shared" si="4"/>
        <v>0.53258378245570448</v>
      </c>
      <c r="P11" s="8">
        <f t="shared" si="6"/>
        <v>0.3075837824557045</v>
      </c>
    </row>
    <row r="12" spans="1:18">
      <c r="A12" s="8">
        <v>39.200415051728875</v>
      </c>
      <c r="M12" s="8">
        <v>34.038514358958707</v>
      </c>
      <c r="N12" s="8">
        <f t="shared" si="3"/>
        <v>0.27500000000000002</v>
      </c>
      <c r="O12" s="8">
        <f t="shared" si="4"/>
        <v>0.53511923407721107</v>
      </c>
      <c r="P12" s="8">
        <f t="shared" si="6"/>
        <v>0.28511923407721107</v>
      </c>
    </row>
    <row r="13" spans="1:18">
      <c r="A13" s="8">
        <v>49.141514328440195</v>
      </c>
      <c r="M13" s="8">
        <v>34.074221015045623</v>
      </c>
      <c r="N13" s="8">
        <f t="shared" si="3"/>
        <v>0.3</v>
      </c>
      <c r="O13" s="8">
        <f t="shared" si="4"/>
        <v>0.53549262168894929</v>
      </c>
      <c r="P13" s="8">
        <f t="shared" si="6"/>
        <v>0.26049262168894927</v>
      </c>
    </row>
    <row r="14" spans="1:18">
      <c r="A14" s="8">
        <v>31.43192846461379</v>
      </c>
      <c r="M14" s="8">
        <v>34.597003082369454</v>
      </c>
      <c r="N14" s="8">
        <f t="shared" si="3"/>
        <v>0.32500000000000001</v>
      </c>
      <c r="O14" s="8">
        <f t="shared" si="4"/>
        <v>0.54092518558961022</v>
      </c>
      <c r="P14" s="8">
        <f t="shared" si="6"/>
        <v>0.24092518558961024</v>
      </c>
    </row>
    <row r="15" spans="1:18">
      <c r="A15" s="8">
        <v>55.877254554887543</v>
      </c>
      <c r="M15" s="8">
        <v>35.198522904141363</v>
      </c>
      <c r="N15" s="8">
        <f t="shared" si="3"/>
        <v>0.35</v>
      </c>
      <c r="O15" s="8">
        <f t="shared" si="4"/>
        <v>0.54709740014530006</v>
      </c>
      <c r="P15" s="8">
        <f t="shared" si="6"/>
        <v>0.22209740014530005</v>
      </c>
    </row>
    <row r="16" spans="1:18">
      <c r="A16" s="8">
        <v>30.608844264046144</v>
      </c>
      <c r="M16" s="8">
        <v>35.655384990997042</v>
      </c>
      <c r="N16" s="8">
        <f t="shared" si="3"/>
        <v>0.375</v>
      </c>
      <c r="O16" s="8">
        <f t="shared" si="4"/>
        <v>0.55172976762371095</v>
      </c>
      <c r="P16" s="8">
        <f t="shared" si="6"/>
        <v>0.20172976762371098</v>
      </c>
    </row>
    <row r="17" spans="1:16">
      <c r="A17" s="8">
        <v>31.167332987456891</v>
      </c>
      <c r="M17" s="8">
        <v>35.746024964140751</v>
      </c>
      <c r="N17" s="8">
        <f t="shared" si="3"/>
        <v>0.4</v>
      </c>
      <c r="O17" s="8">
        <f t="shared" si="4"/>
        <v>0.55264316644457612</v>
      </c>
      <c r="P17" s="8">
        <f t="shared" si="6"/>
        <v>0.17764316644457612</v>
      </c>
    </row>
    <row r="18" spans="1:16">
      <c r="A18" s="8">
        <v>33.373821222571493</v>
      </c>
      <c r="M18" s="8">
        <v>37.958006530961029</v>
      </c>
      <c r="N18" s="8">
        <f t="shared" si="3"/>
        <v>0.42499999999999999</v>
      </c>
      <c r="O18" s="8">
        <f t="shared" si="4"/>
        <v>0.57436593527423641</v>
      </c>
      <c r="P18" s="8">
        <f t="shared" si="6"/>
        <v>0.17436593527423638</v>
      </c>
    </row>
    <row r="19" spans="1:16">
      <c r="A19" s="8">
        <v>35.655384990997042</v>
      </c>
      <c r="M19" s="8">
        <v>38.503677480391858</v>
      </c>
      <c r="N19" s="8">
        <f t="shared" si="3"/>
        <v>0.45</v>
      </c>
      <c r="O19" s="8">
        <f t="shared" si="4"/>
        <v>0.57956047574503988</v>
      </c>
      <c r="P19" s="8">
        <f t="shared" si="6"/>
        <v>0.15456047574503989</v>
      </c>
    </row>
    <row r="20" spans="1:16">
      <c r="A20" s="8">
        <v>45.455488753929259</v>
      </c>
      <c r="M20" s="8">
        <v>39.184850611896117</v>
      </c>
      <c r="N20" s="8">
        <f t="shared" si="3"/>
        <v>0.47499999999999998</v>
      </c>
      <c r="O20" s="8">
        <f t="shared" si="4"/>
        <v>0.58595606198362893</v>
      </c>
      <c r="P20" s="8">
        <f t="shared" si="6"/>
        <v>0.13595606198362892</v>
      </c>
    </row>
    <row r="21" spans="1:16">
      <c r="A21" s="8">
        <v>31.090426343577381</v>
      </c>
      <c r="M21" s="8">
        <v>39.200415051728875</v>
      </c>
      <c r="N21" s="8">
        <f t="shared" si="3"/>
        <v>0.5</v>
      </c>
      <c r="O21" s="8">
        <f t="shared" si="4"/>
        <v>0.58610105513435307</v>
      </c>
      <c r="P21" s="8">
        <f t="shared" si="6"/>
        <v>0.11110105513435309</v>
      </c>
    </row>
    <row r="22" spans="1:16">
      <c r="A22" s="8">
        <v>59.18424024170659</v>
      </c>
      <c r="M22" s="8">
        <v>39.433881649220254</v>
      </c>
      <c r="N22" s="8">
        <f t="shared" si="3"/>
        <v>0.52500000000000002</v>
      </c>
      <c r="O22" s="8">
        <f t="shared" si="4"/>
        <v>0.58826986936057635</v>
      </c>
      <c r="P22" s="8">
        <f t="shared" si="6"/>
        <v>8.8269869360576347E-2</v>
      </c>
    </row>
    <row r="23" spans="1:16">
      <c r="A23" s="8">
        <v>34.597003082369454</v>
      </c>
      <c r="M23" s="8">
        <v>40.08484145634327</v>
      </c>
      <c r="N23" s="8">
        <f t="shared" si="3"/>
        <v>0.55000000000000004</v>
      </c>
      <c r="O23" s="8">
        <f t="shared" si="4"/>
        <v>0.59425720227905443</v>
      </c>
      <c r="P23" s="8">
        <f t="shared" si="6"/>
        <v>6.9257202279054408E-2</v>
      </c>
    </row>
    <row r="24" spans="1:16">
      <c r="A24" s="8">
        <v>50.202642902920616</v>
      </c>
      <c r="M24" s="8">
        <v>40.359508041627251</v>
      </c>
      <c r="N24" s="8">
        <f t="shared" si="3"/>
        <v>0.57499999999999996</v>
      </c>
      <c r="O24" s="8">
        <f t="shared" si="4"/>
        <v>0.59675731042926106</v>
      </c>
      <c r="P24" s="8">
        <f t="shared" si="6"/>
        <v>4.6757310429261012E-2</v>
      </c>
    </row>
    <row r="25" spans="1:16">
      <c r="A25" s="8">
        <v>40.08484145634327</v>
      </c>
      <c r="M25" s="8">
        <v>40.555436872463147</v>
      </c>
      <c r="N25" s="8">
        <f t="shared" si="3"/>
        <v>0.6</v>
      </c>
      <c r="O25" s="8">
        <f t="shared" si="4"/>
        <v>0.59853130142162536</v>
      </c>
      <c r="P25" s="8">
        <f t="shared" si="6"/>
        <v>2.3531301421625406E-2</v>
      </c>
    </row>
    <row r="26" spans="1:16">
      <c r="A26" s="8">
        <v>58.654133732108527</v>
      </c>
      <c r="M26" s="8">
        <v>41.453596606341748</v>
      </c>
      <c r="N26" s="8">
        <f t="shared" si="3"/>
        <v>0.625</v>
      </c>
      <c r="O26" s="8">
        <f t="shared" si="4"/>
        <v>0.60656411004959354</v>
      </c>
      <c r="P26" s="8">
        <f t="shared" si="6"/>
        <v>1.8435889950406459E-2</v>
      </c>
    </row>
    <row r="27" spans="1:16">
      <c r="A27" s="8">
        <v>58.378551591540273</v>
      </c>
      <c r="M27" s="8">
        <v>42.078920865504926</v>
      </c>
      <c r="N27" s="8">
        <f t="shared" si="3"/>
        <v>0.65</v>
      </c>
      <c r="O27" s="8">
        <f t="shared" si="4"/>
        <v>0.61206168049346643</v>
      </c>
      <c r="P27" s="8">
        <f t="shared" si="6"/>
        <v>3.7938319506533591E-2</v>
      </c>
    </row>
    <row r="28" spans="1:16">
      <c r="A28" s="8">
        <v>57.660756248664811</v>
      </c>
      <c r="M28" s="8">
        <v>44.145329142124694</v>
      </c>
      <c r="N28" s="8">
        <f t="shared" si="3"/>
        <v>0.67500000000000004</v>
      </c>
      <c r="O28" s="8">
        <f t="shared" si="4"/>
        <v>0.62968809792867453</v>
      </c>
      <c r="P28" s="8">
        <f t="shared" si="6"/>
        <v>4.5311902071325516E-2</v>
      </c>
    </row>
    <row r="29" spans="1:16">
      <c r="A29" s="8">
        <v>35.198522904141363</v>
      </c>
      <c r="M29" s="8">
        <v>45.455488753929259</v>
      </c>
      <c r="N29" s="8">
        <f t="shared" si="3"/>
        <v>0.7</v>
      </c>
      <c r="O29" s="8">
        <f t="shared" si="4"/>
        <v>0.64044653359244763</v>
      </c>
      <c r="P29" s="8">
        <f t="shared" si="6"/>
        <v>5.9553466407552325E-2</v>
      </c>
    </row>
    <row r="30" spans="1:16">
      <c r="A30" s="8">
        <v>39.184850611896117</v>
      </c>
      <c r="M30" s="8">
        <v>46.523026215399639</v>
      </c>
      <c r="N30" s="8">
        <f t="shared" si="3"/>
        <v>0.72499999999999998</v>
      </c>
      <c r="O30" s="8">
        <f t="shared" si="4"/>
        <v>0.64898115262885203</v>
      </c>
      <c r="P30" s="8">
        <f t="shared" si="6"/>
        <v>7.6018847371147946E-2</v>
      </c>
    </row>
    <row r="31" spans="1:16">
      <c r="A31" s="8">
        <v>44.145329142124694</v>
      </c>
      <c r="M31" s="8">
        <v>48.312021240882594</v>
      </c>
      <c r="N31" s="8">
        <f t="shared" si="3"/>
        <v>0.75</v>
      </c>
      <c r="O31" s="8">
        <f t="shared" si="4"/>
        <v>0.66283181639188737</v>
      </c>
      <c r="P31" s="8">
        <f t="shared" si="6"/>
        <v>8.7168183608112626E-2</v>
      </c>
    </row>
    <row r="32" spans="1:16">
      <c r="A32" s="8">
        <v>33.331705679494611</v>
      </c>
      <c r="M32" s="8">
        <v>48.588518936735127</v>
      </c>
      <c r="N32" s="8">
        <f t="shared" si="3"/>
        <v>0.77500000000000002</v>
      </c>
      <c r="O32" s="8">
        <f t="shared" si="4"/>
        <v>0.66492318850382093</v>
      </c>
      <c r="P32" s="8">
        <f t="shared" si="6"/>
        <v>0.11007681149617909</v>
      </c>
    </row>
    <row r="33" spans="1:16">
      <c r="A33" s="8">
        <v>54.083681752983182</v>
      </c>
      <c r="M33" s="8">
        <v>49.080172124393442</v>
      </c>
      <c r="N33" s="8">
        <f t="shared" si="3"/>
        <v>0.8</v>
      </c>
      <c r="O33" s="8">
        <f t="shared" si="4"/>
        <v>0.66860996321755151</v>
      </c>
      <c r="P33" s="8">
        <f t="shared" si="6"/>
        <v>0.13139003678244854</v>
      </c>
    </row>
    <row r="34" spans="1:16">
      <c r="A34" s="8">
        <v>40.359508041627251</v>
      </c>
      <c r="M34" s="8">
        <v>49.141514328440195</v>
      </c>
      <c r="N34" s="8">
        <f t="shared" si="3"/>
        <v>0.82499999999999996</v>
      </c>
      <c r="O34" s="8">
        <f t="shared" si="4"/>
        <v>0.66906709637621464</v>
      </c>
      <c r="P34" s="8">
        <f t="shared" si="6"/>
        <v>0.15593290362378531</v>
      </c>
    </row>
    <row r="35" spans="1:16">
      <c r="A35" s="8">
        <v>30.550248725852228</v>
      </c>
      <c r="M35" s="8">
        <v>50.202642902920616</v>
      </c>
      <c r="N35" s="8">
        <f t="shared" si="3"/>
        <v>0.85</v>
      </c>
      <c r="O35" s="8">
        <f t="shared" si="4"/>
        <v>0.67687575950401313</v>
      </c>
      <c r="P35" s="8">
        <f t="shared" si="6"/>
        <v>0.17312424049598685</v>
      </c>
    </row>
    <row r="36" spans="1:16">
      <c r="A36" s="8">
        <v>34.074221015045623</v>
      </c>
      <c r="M36" s="8">
        <v>51.186864833521533</v>
      </c>
      <c r="N36" s="8">
        <f t="shared" si="3"/>
        <v>0.875</v>
      </c>
      <c r="O36" s="8">
        <f t="shared" si="4"/>
        <v>0.68395367981040867</v>
      </c>
      <c r="P36" s="8">
        <f t="shared" si="6"/>
        <v>0.19104632018959133</v>
      </c>
    </row>
    <row r="37" spans="1:16">
      <c r="A37" s="8">
        <v>52.744224372081668</v>
      </c>
      <c r="M37" s="8">
        <v>52.744224372081668</v>
      </c>
      <c r="N37" s="8">
        <f t="shared" si="3"/>
        <v>0.9</v>
      </c>
      <c r="O37" s="8">
        <f t="shared" si="4"/>
        <v>0.69483785258570041</v>
      </c>
      <c r="P37" s="8">
        <f t="shared" si="6"/>
        <v>0.20516214741429961</v>
      </c>
    </row>
    <row r="38" spans="1:16">
      <c r="A38" s="8">
        <v>39.433881649220254</v>
      </c>
      <c r="M38" s="8">
        <v>53.588366344187747</v>
      </c>
      <c r="N38" s="8">
        <f t="shared" si="3"/>
        <v>0.92500000000000004</v>
      </c>
      <c r="O38" s="8">
        <f t="shared" si="4"/>
        <v>0.70057996118262378</v>
      </c>
      <c r="P38" s="8">
        <f t="shared" si="6"/>
        <v>0.22442003881737627</v>
      </c>
    </row>
    <row r="39" spans="1:16">
      <c r="A39" s="8">
        <v>55.019379253517258</v>
      </c>
      <c r="M39" s="8">
        <v>54.083681752983182</v>
      </c>
      <c r="N39" s="8">
        <f t="shared" si="3"/>
        <v>0.95</v>
      </c>
      <c r="O39" s="8">
        <f t="shared" si="4"/>
        <v>0.70389881562334167</v>
      </c>
      <c r="P39" s="8">
        <f t="shared" si="6"/>
        <v>0.24610118437665829</v>
      </c>
    </row>
    <row r="40" spans="1:16">
      <c r="A40" s="8">
        <v>55.028534806360057</v>
      </c>
      <c r="M40" s="8">
        <v>54.503921628467666</v>
      </c>
      <c r="N40" s="8">
        <f t="shared" si="3"/>
        <v>0.97499999999999998</v>
      </c>
      <c r="O40" s="8">
        <f t="shared" si="4"/>
        <v>0.70668576535121086</v>
      </c>
      <c r="P40" s="8">
        <f t="shared" si="6"/>
        <v>0.26831423464878912</v>
      </c>
    </row>
    <row r="41" spans="1:16">
      <c r="A41" s="8">
        <v>38.503677480391858</v>
      </c>
      <c r="M41" s="8">
        <v>55.019379253517258</v>
      </c>
      <c r="N41" s="8">
        <f t="shared" si="3"/>
        <v>1</v>
      </c>
      <c r="O41" s="8">
        <f t="shared" si="4"/>
        <v>0.71006838661353022</v>
      </c>
      <c r="P41" s="8">
        <f t="shared" si="6"/>
        <v>0.28993161338646978</v>
      </c>
    </row>
    <row r="42" spans="1:16">
      <c r="A42" s="8">
        <v>51.186864833521533</v>
      </c>
      <c r="M42" s="8">
        <v>55.028534806360057</v>
      </c>
    </row>
    <row r="43" spans="1:16">
      <c r="A43" s="8">
        <v>37.958006530961029</v>
      </c>
      <c r="M43" s="8">
        <v>55.380108035523548</v>
      </c>
    </row>
    <row r="44" spans="1:16">
      <c r="A44" s="8">
        <v>35.746024964140751</v>
      </c>
      <c r="M44" s="8">
        <v>55.404828028199105</v>
      </c>
    </row>
    <row r="45" spans="1:16">
      <c r="A45" s="8">
        <v>55.380108035523548</v>
      </c>
      <c r="M45" s="8">
        <v>55.877254554887543</v>
      </c>
    </row>
    <row r="46" spans="1:16">
      <c r="A46" s="8">
        <v>40.555436872463147</v>
      </c>
      <c r="M46" s="8">
        <v>55.907467879268779</v>
      </c>
    </row>
    <row r="47" spans="1:16">
      <c r="A47" s="8">
        <v>48.588518936735127</v>
      </c>
      <c r="M47" s="8">
        <v>56.161992248298588</v>
      </c>
    </row>
    <row r="48" spans="1:16">
      <c r="A48" s="8">
        <v>41.453596606341748</v>
      </c>
      <c r="M48" s="8">
        <v>57.660756248664811</v>
      </c>
    </row>
    <row r="49" spans="1:13">
      <c r="A49" s="8">
        <v>34.038514358958707</v>
      </c>
      <c r="M49" s="8">
        <v>58.378551591540273</v>
      </c>
    </row>
    <row r="50" spans="1:13">
      <c r="A50" s="8">
        <v>31.51249732963042</v>
      </c>
      <c r="M50" s="8">
        <v>58.654133732108527</v>
      </c>
    </row>
    <row r="51" spans="1:13">
      <c r="A51" s="8">
        <v>42.078920865504926</v>
      </c>
      <c r="M51" s="8">
        <v>59.18424024170659</v>
      </c>
    </row>
  </sheetData>
  <sortState ref="M2:M51">
    <sortCondition ref="M1"/>
  </sortState>
  <pageMargins left="0.7" right="0.7" top="0.75" bottom="0.75" header="0.3" footer="0.3"/>
  <pageSetup paperSize="9" orientation="portrait" r:id="rId1"/>
  <ignoredErrors>
    <ignoredError sqref="B2:D2 E2:F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2025-04-10T12:24:30Z</dcterms:created>
  <dcterms:modified xsi:type="dcterms:W3CDTF">2025-11-18T20:19:18Z</dcterms:modified>
</cp:coreProperties>
</file>