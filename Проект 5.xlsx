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ina\Desktop\"/>
    </mc:Choice>
  </mc:AlternateContent>
  <bookViews>
    <workbookView xWindow="0" yWindow="0" windowWidth="22992" windowHeight="9144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G5" i="1"/>
  <c r="H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3" i="2"/>
  <c r="E4" i="2"/>
  <c r="E5" i="2"/>
  <c r="E6" i="2"/>
  <c r="E7" i="2"/>
  <c r="E8" i="2"/>
  <c r="E9" i="2"/>
  <c r="E10" i="2"/>
  <c r="G2" i="2"/>
  <c r="F2" i="2"/>
  <c r="E2" i="2"/>
  <c r="I3" i="1" l="1"/>
  <c r="I2" i="1"/>
  <c r="F2" i="1"/>
  <c r="H2" i="1" s="1"/>
  <c r="H4" i="1" s="1"/>
  <c r="G2" i="1"/>
  <c r="H3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<sst xmlns="http://schemas.openxmlformats.org/spreadsheetml/2006/main" count="20" uniqueCount="15">
  <si>
    <t>X1</t>
  </si>
  <si>
    <t>X2</t>
  </si>
  <si>
    <t>X1 X2</t>
  </si>
  <si>
    <t xml:space="preserve">   метки</t>
  </si>
  <si>
    <t xml:space="preserve">     ранг</t>
  </si>
  <si>
    <t>для Х1</t>
  </si>
  <si>
    <t>для Х2</t>
  </si>
  <si>
    <t xml:space="preserve">      U</t>
  </si>
  <si>
    <t>размер выборок</t>
  </si>
  <si>
    <t xml:space="preserve">          Итоговое U-</t>
  </si>
  <si>
    <t>критич</t>
  </si>
  <si>
    <t>F2(x)</t>
  </si>
  <si>
    <t>F1(x)</t>
  </si>
  <si>
    <t>абс разница</t>
  </si>
  <si>
    <t>статистика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</si>
</sst>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rgb="FF404040"/>
      <name val="Segoe UI"/>
      <family val="2"/>
      <charset val="204"/>
    </font>
    <font>
      <sz val="8"/>
      <color rgb="FF40404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>
      <selection activeCell="P2" sqref="P2"/>
    </sheetView>
  </sheetViews>
  <sheetFormatPr defaultRowHeight="14.4" x14ac:dyDescent="0.3"/>
  <sheetData>
    <row r="1" spans="1:11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10</v>
      </c>
    </row>
    <row r="2" spans="1:11" x14ac:dyDescent="0.3">
      <c r="A2" s="1">
        <v>8.5667648161324905</v>
      </c>
      <c r="B2" s="2">
        <v>7.7170602960541146</v>
      </c>
      <c r="C2" s="2">
        <v>0.15999492257833481</v>
      </c>
      <c r="D2">
        <v>1</v>
      </c>
      <c r="E2">
        <f>RANK(C2,C:C,1)</f>
        <v>1</v>
      </c>
      <c r="F2">
        <f>SUMIF(D2:D101, 1, E2:E101)</f>
        <v>2461</v>
      </c>
      <c r="G2">
        <f>SUMIF(D:D, 2, E:E)</f>
        <v>2589</v>
      </c>
      <c r="H2">
        <f>50*50 + 50*(50 + 1)/2 - F2</f>
        <v>1314</v>
      </c>
      <c r="I2">
        <f>COUNTIF(D:D, 1)</f>
        <v>50</v>
      </c>
      <c r="K2">
        <v>1790</v>
      </c>
    </row>
    <row r="3" spans="1:11" ht="15" x14ac:dyDescent="0.35">
      <c r="A3" s="1">
        <v>9.9725753241364146</v>
      </c>
      <c r="B3" s="2">
        <v>8.5262468271685066</v>
      </c>
      <c r="C3" s="2">
        <v>4.2051636026008055</v>
      </c>
      <c r="D3" s="2">
        <v>2</v>
      </c>
      <c r="E3" s="2">
        <f t="shared" ref="E3:E66" si="0">RANK(C3,C:C,1)</f>
        <v>2</v>
      </c>
      <c r="H3">
        <f>50*50 + 50*(50 + 1)/2 - G2</f>
        <v>1186</v>
      </c>
      <c r="I3">
        <f>COUNTIF(D:D, 2)</f>
        <v>50</v>
      </c>
      <c r="K3" s="4"/>
    </row>
    <row r="4" spans="1:11" x14ac:dyDescent="0.3">
      <c r="A4" s="1">
        <v>11.101877842302201</v>
      </c>
      <c r="B4" s="2">
        <v>4.6386105875717476</v>
      </c>
      <c r="C4" s="2">
        <v>4.6386105875717476</v>
      </c>
      <c r="D4" s="2">
        <v>2</v>
      </c>
      <c r="E4" s="2">
        <f t="shared" si="0"/>
        <v>3</v>
      </c>
      <c r="F4" t="s">
        <v>9</v>
      </c>
      <c r="H4">
        <f>MIN(H2, H3)</f>
        <v>1186</v>
      </c>
    </row>
    <row r="5" spans="1:11" x14ac:dyDescent="0.3">
      <c r="A5" s="1">
        <v>5.4707573124323972</v>
      </c>
      <c r="B5" s="2">
        <v>10.170492739925976</v>
      </c>
      <c r="C5" s="2">
        <v>4.6611205814406276</v>
      </c>
      <c r="D5" s="2">
        <v>2</v>
      </c>
      <c r="E5" s="2">
        <f t="shared" si="0"/>
        <v>4</v>
      </c>
      <c r="G5" t="str">
        <f>IF(H4 &lt;= 1790, "Гипотеза отвергается", "Гипотеза не отвергается")</f>
        <v>Гипотеза отвергается</v>
      </c>
      <c r="I5" s="3"/>
    </row>
    <row r="6" spans="1:11" x14ac:dyDescent="0.3">
      <c r="A6" s="1">
        <v>14.654370968637522</v>
      </c>
      <c r="B6" s="2">
        <v>11.433490979252383</v>
      </c>
      <c r="C6" s="2">
        <v>4.9963694234611467</v>
      </c>
      <c r="D6" s="2">
        <v>1</v>
      </c>
      <c r="E6" s="2">
        <f t="shared" si="0"/>
        <v>5</v>
      </c>
      <c r="G6" s="3"/>
    </row>
    <row r="7" spans="1:11" x14ac:dyDescent="0.3">
      <c r="A7" s="1">
        <v>7.5292075760080479</v>
      </c>
      <c r="B7" s="2">
        <v>4.6611205814406276</v>
      </c>
      <c r="C7" s="2">
        <v>5.1728887026547454</v>
      </c>
      <c r="D7" s="2">
        <v>1</v>
      </c>
      <c r="E7" s="2">
        <f t="shared" si="0"/>
        <v>6</v>
      </c>
    </row>
    <row r="8" spans="1:11" x14ac:dyDescent="0.3">
      <c r="A8" s="1">
        <v>8.559299001499312</v>
      </c>
      <c r="B8" s="2">
        <v>13.718541847774759</v>
      </c>
      <c r="C8" s="2">
        <v>5.2387133816955611</v>
      </c>
      <c r="D8" s="2">
        <v>1</v>
      </c>
      <c r="E8" s="2">
        <f t="shared" si="0"/>
        <v>7</v>
      </c>
    </row>
    <row r="9" spans="1:11" x14ac:dyDescent="0.3">
      <c r="A9" s="1">
        <v>5.1728887026547454</v>
      </c>
      <c r="B9" s="2">
        <v>12.48369815381011</v>
      </c>
      <c r="C9" s="2">
        <v>5.3593396639917046</v>
      </c>
      <c r="D9" s="2">
        <v>1</v>
      </c>
      <c r="E9" s="2">
        <f t="shared" si="0"/>
        <v>8</v>
      </c>
    </row>
    <row r="10" spans="1:11" x14ac:dyDescent="0.3">
      <c r="A10" s="1">
        <v>12.104817440340412</v>
      </c>
      <c r="B10" s="2">
        <v>10.192794686881825</v>
      </c>
      <c r="C10" s="2">
        <v>5.4707573124323972</v>
      </c>
      <c r="D10" s="2">
        <v>1</v>
      </c>
      <c r="E10" s="2">
        <f t="shared" si="0"/>
        <v>9</v>
      </c>
    </row>
    <row r="11" spans="1:11" x14ac:dyDescent="0.3">
      <c r="A11" s="1">
        <v>0.15999492257833481</v>
      </c>
      <c r="B11" s="2">
        <v>16.130085239419714</v>
      </c>
      <c r="C11" s="2">
        <v>5.823618519352749</v>
      </c>
      <c r="D11" s="2">
        <v>1</v>
      </c>
      <c r="E11" s="2">
        <f t="shared" si="0"/>
        <v>10</v>
      </c>
    </row>
    <row r="12" spans="1:11" x14ac:dyDescent="0.3">
      <c r="A12" s="1">
        <v>8.9409730005718302</v>
      </c>
      <c r="B12" s="2">
        <v>8.4083115123212337</v>
      </c>
      <c r="C12" s="2">
        <v>6.3593631946423557</v>
      </c>
      <c r="D12" s="2">
        <v>2</v>
      </c>
      <c r="E12" s="2">
        <f t="shared" si="0"/>
        <v>11</v>
      </c>
    </row>
    <row r="13" spans="1:11" x14ac:dyDescent="0.3">
      <c r="A13" s="1">
        <v>4.9963694234611467</v>
      </c>
      <c r="B13" s="2">
        <v>16.290383680607192</v>
      </c>
      <c r="C13" s="2">
        <v>6.3655841384024825</v>
      </c>
      <c r="D13" s="2">
        <v>2</v>
      </c>
      <c r="E13" s="2">
        <f t="shared" si="0"/>
        <v>12</v>
      </c>
    </row>
    <row r="14" spans="1:11" x14ac:dyDescent="0.3">
      <c r="A14" s="1">
        <v>5.823618519352749</v>
      </c>
      <c r="B14" s="2">
        <v>9.8053669969522161</v>
      </c>
      <c r="C14" s="2">
        <v>6.4497237670002505</v>
      </c>
      <c r="D14" s="2">
        <v>2</v>
      </c>
      <c r="E14" s="2">
        <f t="shared" si="0"/>
        <v>13</v>
      </c>
    </row>
    <row r="15" spans="1:11" x14ac:dyDescent="0.3">
      <c r="A15" s="1">
        <v>21.525116860866547</v>
      </c>
      <c r="B15" s="2">
        <v>9.8274404333642451</v>
      </c>
      <c r="C15" s="2">
        <v>6.5387542033568025</v>
      </c>
      <c r="D15" s="2">
        <v>2</v>
      </c>
      <c r="E15" s="2">
        <f t="shared" si="0"/>
        <v>14</v>
      </c>
    </row>
    <row r="16" spans="1:11" x14ac:dyDescent="0.3">
      <c r="A16" s="1">
        <v>12.53055986831896</v>
      </c>
      <c r="B16" s="2">
        <v>7.3842363942821976</v>
      </c>
      <c r="C16" s="2">
        <v>6.6544964991044253</v>
      </c>
      <c r="D16" s="2">
        <v>2</v>
      </c>
      <c r="E16" s="2">
        <f t="shared" si="0"/>
        <v>15</v>
      </c>
    </row>
    <row r="17" spans="1:5" x14ac:dyDescent="0.3">
      <c r="A17" s="1">
        <v>9.1232834872789681</v>
      </c>
      <c r="B17" s="2">
        <v>13.727463990799151</v>
      </c>
      <c r="C17" s="2">
        <v>6.6723885336250532</v>
      </c>
      <c r="D17" s="2">
        <v>1</v>
      </c>
      <c r="E17" s="2">
        <f t="shared" si="0"/>
        <v>16</v>
      </c>
    </row>
    <row r="18" spans="1:5" x14ac:dyDescent="0.3">
      <c r="A18" s="1">
        <v>7.7118454808078241</v>
      </c>
      <c r="B18" s="2">
        <v>11.647711087571224</v>
      </c>
      <c r="C18" s="2">
        <v>6.701944837695919</v>
      </c>
      <c r="D18" s="2">
        <v>2</v>
      </c>
      <c r="E18" s="2">
        <f t="shared" si="0"/>
        <v>17</v>
      </c>
    </row>
    <row r="19" spans="1:5" x14ac:dyDescent="0.3">
      <c r="A19" s="1">
        <v>12.361908855164074</v>
      </c>
      <c r="B19" s="2">
        <v>11.068801793735474</v>
      </c>
      <c r="C19" s="2">
        <v>6.9700866131461225</v>
      </c>
      <c r="D19" s="2">
        <v>1</v>
      </c>
      <c r="E19" s="2">
        <f t="shared" si="0"/>
        <v>18</v>
      </c>
    </row>
    <row r="20" spans="1:5" x14ac:dyDescent="0.3">
      <c r="A20" s="1">
        <v>12.834178758348571</v>
      </c>
      <c r="B20" s="2">
        <v>12.594017587398412</v>
      </c>
      <c r="C20" s="2">
        <v>7.3842363942821976</v>
      </c>
      <c r="D20" s="2">
        <v>2</v>
      </c>
      <c r="E20" s="2">
        <f t="shared" si="0"/>
        <v>19</v>
      </c>
    </row>
    <row r="21" spans="1:5" x14ac:dyDescent="0.3">
      <c r="A21" s="1">
        <v>6.9700866131461225</v>
      </c>
      <c r="B21" s="2">
        <v>11.185792370961281</v>
      </c>
      <c r="C21" s="2">
        <v>7.4883894537924789</v>
      </c>
      <c r="D21" s="2">
        <v>1</v>
      </c>
      <c r="E21" s="2">
        <f t="shared" si="0"/>
        <v>20</v>
      </c>
    </row>
    <row r="22" spans="1:5" x14ac:dyDescent="0.3">
      <c r="A22" s="1">
        <v>9.0010951478325296</v>
      </c>
      <c r="B22" s="2">
        <v>13.631544132076669</v>
      </c>
      <c r="C22" s="2">
        <v>7.5292075760080479</v>
      </c>
      <c r="D22" s="2">
        <v>1</v>
      </c>
      <c r="E22" s="2">
        <f t="shared" si="0"/>
        <v>21</v>
      </c>
    </row>
    <row r="23" spans="1:5" x14ac:dyDescent="0.3">
      <c r="A23" s="1">
        <v>14.027924660476856</v>
      </c>
      <c r="B23" s="2">
        <v>13.784748514590319</v>
      </c>
      <c r="C23" s="2">
        <v>7.5902301230235025</v>
      </c>
      <c r="D23" s="2">
        <v>2</v>
      </c>
      <c r="E23" s="2">
        <f t="shared" si="0"/>
        <v>22</v>
      </c>
    </row>
    <row r="24" spans="1:5" x14ac:dyDescent="0.3">
      <c r="A24" s="1">
        <v>14.016089860670036</v>
      </c>
      <c r="B24" s="2">
        <v>6.701944837695919</v>
      </c>
      <c r="C24" s="2">
        <v>7.636525677080499</v>
      </c>
      <c r="D24" s="2">
        <v>2</v>
      </c>
      <c r="E24" s="2">
        <f t="shared" si="0"/>
        <v>23</v>
      </c>
    </row>
    <row r="25" spans="1:5" x14ac:dyDescent="0.3">
      <c r="A25" s="1">
        <v>5.2387133816955611</v>
      </c>
      <c r="B25" s="2">
        <v>14.343010004959069</v>
      </c>
      <c r="C25" s="2">
        <v>7.7118454808078241</v>
      </c>
      <c r="D25" s="2">
        <v>1</v>
      </c>
      <c r="E25" s="2">
        <f t="shared" si="0"/>
        <v>24</v>
      </c>
    </row>
    <row r="26" spans="1:5" x14ac:dyDescent="0.3">
      <c r="A26" s="1">
        <v>11.19348669613828</v>
      </c>
      <c r="B26" s="2">
        <v>10.712454948370578</v>
      </c>
      <c r="C26" s="2">
        <v>7.7170602960541146</v>
      </c>
      <c r="D26" s="2">
        <v>2</v>
      </c>
      <c r="E26" s="2">
        <f t="shared" si="0"/>
        <v>25</v>
      </c>
    </row>
    <row r="27" spans="1:5" x14ac:dyDescent="0.3">
      <c r="A27" s="1">
        <v>12.84567931885249</v>
      </c>
      <c r="B27" s="2">
        <v>8.2762324179930147</v>
      </c>
      <c r="C27" s="2">
        <v>7.787554093520157</v>
      </c>
      <c r="D27" s="2">
        <v>1</v>
      </c>
      <c r="E27" s="2">
        <f t="shared" si="0"/>
        <v>26</v>
      </c>
    </row>
    <row r="28" spans="1:5" x14ac:dyDescent="0.3">
      <c r="A28" s="1">
        <v>11.150635853264248</v>
      </c>
      <c r="B28" s="2">
        <v>7.636525677080499</v>
      </c>
      <c r="C28" s="2">
        <v>8.0996722115378361</v>
      </c>
      <c r="D28" s="2">
        <v>1</v>
      </c>
      <c r="E28" s="2">
        <f t="shared" si="0"/>
        <v>27</v>
      </c>
    </row>
    <row r="29" spans="1:5" x14ac:dyDescent="0.3">
      <c r="A29" s="1">
        <v>14.0347185858991</v>
      </c>
      <c r="B29" s="2">
        <v>11.507507931819418</v>
      </c>
      <c r="C29" s="2">
        <v>8.1019163897144608</v>
      </c>
      <c r="D29" s="2">
        <v>1</v>
      </c>
      <c r="E29" s="2">
        <f t="shared" si="0"/>
        <v>28</v>
      </c>
    </row>
    <row r="30" spans="1:5" x14ac:dyDescent="0.3">
      <c r="A30" s="1">
        <v>7.4883894537924789</v>
      </c>
      <c r="B30" s="2">
        <v>6.4497237670002505</v>
      </c>
      <c r="C30" s="2">
        <v>8.2762324179930147</v>
      </c>
      <c r="D30" s="2">
        <v>2</v>
      </c>
      <c r="E30" s="2">
        <f t="shared" si="0"/>
        <v>29</v>
      </c>
    </row>
    <row r="31" spans="1:5" x14ac:dyDescent="0.3">
      <c r="A31" s="1">
        <v>13.36394805344753</v>
      </c>
      <c r="B31" s="2">
        <v>11.80672032001894</v>
      </c>
      <c r="C31" s="2">
        <v>8.4083115123212337</v>
      </c>
      <c r="D31" s="2">
        <v>2</v>
      </c>
      <c r="E31" s="2">
        <f t="shared" si="0"/>
        <v>30</v>
      </c>
    </row>
    <row r="32" spans="1:5" x14ac:dyDescent="0.3">
      <c r="A32" s="1">
        <v>9.6855899553338531</v>
      </c>
      <c r="B32" s="2">
        <v>9.0362005064525874</v>
      </c>
      <c r="C32" s="2">
        <v>8.5262468271685066</v>
      </c>
      <c r="D32" s="2">
        <v>2</v>
      </c>
      <c r="E32" s="2">
        <f t="shared" si="0"/>
        <v>31</v>
      </c>
    </row>
    <row r="33" spans="1:5" x14ac:dyDescent="0.3">
      <c r="A33" s="1">
        <v>12.334473947485094</v>
      </c>
      <c r="B33" s="2">
        <v>6.5387542033568025</v>
      </c>
      <c r="C33" s="2">
        <v>8.559299001499312</v>
      </c>
      <c r="D33" s="2">
        <v>1</v>
      </c>
      <c r="E33" s="2">
        <f t="shared" si="0"/>
        <v>32</v>
      </c>
    </row>
    <row r="34" spans="1:5" x14ac:dyDescent="0.3">
      <c r="A34" s="1">
        <v>9.4746508491516579</v>
      </c>
      <c r="B34" s="2">
        <v>15.563624654314481</v>
      </c>
      <c r="C34" s="2">
        <v>8.5667648161324905</v>
      </c>
      <c r="D34" s="2">
        <v>1</v>
      </c>
      <c r="E34" s="2">
        <f t="shared" si="0"/>
        <v>33</v>
      </c>
    </row>
    <row r="35" spans="1:5" x14ac:dyDescent="0.3">
      <c r="A35" s="1">
        <v>9.5815392139775213</v>
      </c>
      <c r="B35" s="2">
        <v>6.6544964991044253</v>
      </c>
      <c r="C35" s="2">
        <v>8.5834631388570415</v>
      </c>
      <c r="D35" s="2">
        <v>2</v>
      </c>
      <c r="E35" s="2">
        <f t="shared" si="0"/>
        <v>34</v>
      </c>
    </row>
    <row r="36" spans="1:5" x14ac:dyDescent="0.3">
      <c r="A36" s="1">
        <v>10.515096871822607</v>
      </c>
      <c r="B36" s="2">
        <v>6.3593631946423557</v>
      </c>
      <c r="C36" s="2">
        <v>8.7195565154252108</v>
      </c>
      <c r="D36" s="2">
        <v>2</v>
      </c>
      <c r="E36" s="2">
        <f t="shared" si="0"/>
        <v>35</v>
      </c>
    </row>
    <row r="37" spans="1:5" x14ac:dyDescent="0.3">
      <c r="A37" s="1">
        <v>5.3593396639917046</v>
      </c>
      <c r="B37" s="2">
        <v>10.556372015125817</v>
      </c>
      <c r="C37" s="2">
        <v>8.8258616667735623</v>
      </c>
      <c r="D37" s="2">
        <v>2</v>
      </c>
      <c r="E37" s="2">
        <f t="shared" si="0"/>
        <v>36</v>
      </c>
    </row>
    <row r="38" spans="1:5" x14ac:dyDescent="0.3">
      <c r="A38" s="1">
        <v>9.3090079897228861</v>
      </c>
      <c r="B38" s="2">
        <v>4.2051636026008055</v>
      </c>
      <c r="C38" s="2">
        <v>8.9409730005718302</v>
      </c>
      <c r="D38" s="2">
        <v>1</v>
      </c>
      <c r="E38" s="2">
        <f t="shared" si="0"/>
        <v>37</v>
      </c>
    </row>
    <row r="39" spans="1:5" x14ac:dyDescent="0.3">
      <c r="A39" s="1">
        <v>6.6723885336250532</v>
      </c>
      <c r="B39" s="2">
        <v>10.273363411906757</v>
      </c>
      <c r="C39" s="2">
        <v>9.0010951478325296</v>
      </c>
      <c r="D39" s="2">
        <v>1</v>
      </c>
      <c r="E39" s="2">
        <f t="shared" si="0"/>
        <v>38</v>
      </c>
    </row>
    <row r="40" spans="1:5" x14ac:dyDescent="0.3">
      <c r="A40" s="1">
        <v>9.3226708738802699</v>
      </c>
      <c r="B40" s="2">
        <v>12.170488642150303</v>
      </c>
      <c r="C40" s="2">
        <v>9.0044921105436515</v>
      </c>
      <c r="D40" s="2">
        <v>1</v>
      </c>
      <c r="E40" s="2">
        <f t="shared" si="0"/>
        <v>39</v>
      </c>
    </row>
    <row r="41" spans="1:5" x14ac:dyDescent="0.3">
      <c r="A41" s="1">
        <v>9.6511837707657833</v>
      </c>
      <c r="B41" s="2">
        <v>7.5902301230235025</v>
      </c>
      <c r="C41" s="2">
        <v>9.0137007443991024</v>
      </c>
      <c r="D41" s="2">
        <v>2</v>
      </c>
      <c r="E41" s="2">
        <f t="shared" si="0"/>
        <v>40</v>
      </c>
    </row>
    <row r="42" spans="1:5" x14ac:dyDescent="0.3">
      <c r="A42" s="1">
        <v>10.139237954499549</v>
      </c>
      <c r="B42" s="2">
        <v>12.107460659317439</v>
      </c>
      <c r="C42" s="2">
        <v>9.0362005064525874</v>
      </c>
      <c r="D42" s="2">
        <v>2</v>
      </c>
      <c r="E42" s="2">
        <f t="shared" si="0"/>
        <v>41</v>
      </c>
    </row>
    <row r="43" spans="1:5" x14ac:dyDescent="0.3">
      <c r="A43" s="1">
        <v>12.468214006512426</v>
      </c>
      <c r="B43" s="2">
        <v>6.3655841384024825</v>
      </c>
      <c r="C43" s="2">
        <v>9.1232834872789681</v>
      </c>
      <c r="D43" s="2">
        <v>1</v>
      </c>
      <c r="E43" s="2">
        <f t="shared" si="0"/>
        <v>42</v>
      </c>
    </row>
    <row r="44" spans="1:5" x14ac:dyDescent="0.3">
      <c r="A44" s="1">
        <v>13.808779638347914</v>
      </c>
      <c r="B44" s="2">
        <v>10.774933823777246</v>
      </c>
      <c r="C44" s="2">
        <v>9.3090079897228861</v>
      </c>
      <c r="D44" s="2">
        <v>1</v>
      </c>
      <c r="E44" s="2">
        <f t="shared" si="0"/>
        <v>43</v>
      </c>
    </row>
    <row r="45" spans="1:5" x14ac:dyDescent="0.3">
      <c r="A45" s="1">
        <v>8.1019163897144608</v>
      </c>
      <c r="B45" s="2">
        <v>8.8258616667735623</v>
      </c>
      <c r="C45" s="2">
        <v>9.3226708738802699</v>
      </c>
      <c r="D45" s="2">
        <v>1</v>
      </c>
      <c r="E45" s="2">
        <f t="shared" si="0"/>
        <v>44</v>
      </c>
    </row>
    <row r="46" spans="1:5" x14ac:dyDescent="0.3">
      <c r="A46" s="1">
        <v>7.787554093520157</v>
      </c>
      <c r="B46" s="2">
        <v>9.0137007443991024</v>
      </c>
      <c r="C46" s="2">
        <v>9.4746508491516579</v>
      </c>
      <c r="D46" s="2">
        <v>1</v>
      </c>
      <c r="E46" s="2">
        <f t="shared" si="0"/>
        <v>45</v>
      </c>
    </row>
    <row r="47" spans="1:5" x14ac:dyDescent="0.3">
      <c r="A47" s="1">
        <v>9.0044921105436515</v>
      </c>
      <c r="B47" s="2">
        <v>8.5834631388570415</v>
      </c>
      <c r="C47" s="2">
        <v>9.5815392139775213</v>
      </c>
      <c r="D47" s="2">
        <v>1</v>
      </c>
      <c r="E47" s="2">
        <f t="shared" si="0"/>
        <v>46</v>
      </c>
    </row>
    <row r="48" spans="1:5" x14ac:dyDescent="0.3">
      <c r="A48" s="1">
        <v>11.028791984936106</v>
      </c>
      <c r="B48" s="2">
        <v>10.176468120116624</v>
      </c>
      <c r="C48" s="2">
        <v>9.6511837707657833</v>
      </c>
      <c r="D48" s="2">
        <v>1</v>
      </c>
      <c r="E48" s="2">
        <f t="shared" si="0"/>
        <v>47</v>
      </c>
    </row>
    <row r="49" spans="1:5" x14ac:dyDescent="0.3">
      <c r="A49" s="1">
        <v>13.531852144078584</v>
      </c>
      <c r="B49" s="2">
        <v>15.666788638336584</v>
      </c>
      <c r="C49" s="2">
        <v>9.6855899553338531</v>
      </c>
      <c r="D49" s="2">
        <v>1</v>
      </c>
      <c r="E49" s="2">
        <f t="shared" si="0"/>
        <v>48</v>
      </c>
    </row>
    <row r="50" spans="1:5" x14ac:dyDescent="0.3">
      <c r="A50" s="1">
        <v>8.0996722115378361</v>
      </c>
      <c r="B50" s="2">
        <v>8.7195565154252108</v>
      </c>
      <c r="C50" s="2">
        <v>9.8053669969522161</v>
      </c>
      <c r="D50" s="2">
        <v>2</v>
      </c>
      <c r="E50" s="2">
        <f t="shared" si="0"/>
        <v>49</v>
      </c>
    </row>
    <row r="51" spans="1:5" x14ac:dyDescent="0.3">
      <c r="A51" s="1">
        <v>10.27566557037062</v>
      </c>
      <c r="B51" s="2">
        <v>14.920711944578215</v>
      </c>
      <c r="C51" s="2">
        <v>9.8274404333642451</v>
      </c>
      <c r="D51" s="2">
        <v>2</v>
      </c>
      <c r="E51" s="2">
        <f t="shared" si="0"/>
        <v>50</v>
      </c>
    </row>
    <row r="52" spans="1:5" x14ac:dyDescent="0.3">
      <c r="C52" s="2">
        <v>9.9725753241364146</v>
      </c>
      <c r="D52">
        <v>1</v>
      </c>
      <c r="E52" s="2">
        <f t="shared" si="0"/>
        <v>51</v>
      </c>
    </row>
    <row r="53" spans="1:5" x14ac:dyDescent="0.3">
      <c r="C53" s="2">
        <v>10.139237954499549</v>
      </c>
      <c r="D53" s="2">
        <v>1</v>
      </c>
      <c r="E53" s="2">
        <f t="shared" si="0"/>
        <v>52</v>
      </c>
    </row>
    <row r="54" spans="1:5" x14ac:dyDescent="0.3">
      <c r="C54" s="2">
        <v>10.170492739925976</v>
      </c>
      <c r="D54" s="2">
        <v>2</v>
      </c>
      <c r="E54" s="2">
        <f t="shared" si="0"/>
        <v>53</v>
      </c>
    </row>
    <row r="55" spans="1:5" x14ac:dyDescent="0.3">
      <c r="C55" s="2">
        <v>10.176468120116624</v>
      </c>
      <c r="D55" s="2">
        <v>2</v>
      </c>
      <c r="E55" s="2">
        <f t="shared" si="0"/>
        <v>54</v>
      </c>
    </row>
    <row r="56" spans="1:5" x14ac:dyDescent="0.3">
      <c r="C56" s="2">
        <v>10.192794686881825</v>
      </c>
      <c r="D56" s="2">
        <v>2</v>
      </c>
      <c r="E56" s="2">
        <f t="shared" si="0"/>
        <v>55</v>
      </c>
    </row>
    <row r="57" spans="1:5" x14ac:dyDescent="0.3">
      <c r="C57" s="2">
        <v>10.273363411906757</v>
      </c>
      <c r="D57" s="2">
        <v>2</v>
      </c>
      <c r="E57" s="2">
        <f t="shared" si="0"/>
        <v>56</v>
      </c>
    </row>
    <row r="58" spans="1:5" x14ac:dyDescent="0.3">
      <c r="C58" s="2">
        <v>10.27566557037062</v>
      </c>
      <c r="D58" s="2">
        <v>1</v>
      </c>
      <c r="E58" s="2">
        <f t="shared" si="0"/>
        <v>57</v>
      </c>
    </row>
    <row r="59" spans="1:5" x14ac:dyDescent="0.3">
      <c r="C59" s="2">
        <v>10.515096871822607</v>
      </c>
      <c r="D59" s="2">
        <v>1</v>
      </c>
      <c r="E59" s="2">
        <f t="shared" si="0"/>
        <v>58</v>
      </c>
    </row>
    <row r="60" spans="1:5" x14ac:dyDescent="0.3">
      <c r="C60" s="2">
        <v>10.556372015125817</v>
      </c>
      <c r="D60" s="2">
        <v>2</v>
      </c>
      <c r="E60" s="2">
        <f t="shared" si="0"/>
        <v>59</v>
      </c>
    </row>
    <row r="61" spans="1:5" x14ac:dyDescent="0.3">
      <c r="C61" s="2">
        <v>10.712454948370578</v>
      </c>
      <c r="D61" s="2">
        <v>2</v>
      </c>
      <c r="E61" s="2">
        <f t="shared" si="0"/>
        <v>60</v>
      </c>
    </row>
    <row r="62" spans="1:5" x14ac:dyDescent="0.3">
      <c r="C62" s="2">
        <v>10.774933823777246</v>
      </c>
      <c r="D62" s="2">
        <v>2</v>
      </c>
      <c r="E62" s="2">
        <f t="shared" si="0"/>
        <v>61</v>
      </c>
    </row>
    <row r="63" spans="1:5" x14ac:dyDescent="0.3">
      <c r="C63" s="2">
        <v>11.028791984936106</v>
      </c>
      <c r="D63" s="2">
        <v>1</v>
      </c>
      <c r="E63" s="2">
        <f t="shared" si="0"/>
        <v>62</v>
      </c>
    </row>
    <row r="64" spans="1:5" x14ac:dyDescent="0.3">
      <c r="C64" s="2">
        <v>11.068801793735474</v>
      </c>
      <c r="D64" s="2">
        <v>2</v>
      </c>
      <c r="E64" s="2">
        <f t="shared" si="0"/>
        <v>63</v>
      </c>
    </row>
    <row r="65" spans="3:5" x14ac:dyDescent="0.3">
      <c r="C65" s="2">
        <v>11.101877842302201</v>
      </c>
      <c r="D65" s="2">
        <v>1</v>
      </c>
      <c r="E65" s="2">
        <f t="shared" si="0"/>
        <v>64</v>
      </c>
    </row>
    <row r="66" spans="3:5" x14ac:dyDescent="0.3">
      <c r="C66" s="2">
        <v>11.150635853264248</v>
      </c>
      <c r="D66" s="2">
        <v>1</v>
      </c>
      <c r="E66" s="2">
        <f t="shared" si="0"/>
        <v>65</v>
      </c>
    </row>
    <row r="67" spans="3:5" x14ac:dyDescent="0.3">
      <c r="C67" s="2">
        <v>11.185792370961281</v>
      </c>
      <c r="D67" s="2">
        <v>2</v>
      </c>
      <c r="E67" s="2">
        <f t="shared" ref="E67:E101" si="1">RANK(C67,C:C,1)</f>
        <v>66</v>
      </c>
    </row>
    <row r="68" spans="3:5" x14ac:dyDescent="0.3">
      <c r="C68" s="2">
        <v>11.19348669613828</v>
      </c>
      <c r="D68" s="2">
        <v>1</v>
      </c>
      <c r="E68" s="2">
        <f t="shared" si="1"/>
        <v>67</v>
      </c>
    </row>
    <row r="69" spans="3:5" x14ac:dyDescent="0.3">
      <c r="C69" s="2">
        <v>11.433490979252383</v>
      </c>
      <c r="D69" s="2">
        <v>2</v>
      </c>
      <c r="E69" s="2">
        <f t="shared" si="1"/>
        <v>68</v>
      </c>
    </row>
    <row r="70" spans="3:5" x14ac:dyDescent="0.3">
      <c r="C70" s="2">
        <v>11.507507931819418</v>
      </c>
      <c r="D70" s="2">
        <v>2</v>
      </c>
      <c r="E70" s="2">
        <f t="shared" si="1"/>
        <v>69</v>
      </c>
    </row>
    <row r="71" spans="3:5" x14ac:dyDescent="0.3">
      <c r="C71" s="2">
        <v>11.647711087571224</v>
      </c>
      <c r="D71" s="2">
        <v>2</v>
      </c>
      <c r="E71" s="2">
        <f t="shared" si="1"/>
        <v>70</v>
      </c>
    </row>
    <row r="72" spans="3:5" x14ac:dyDescent="0.3">
      <c r="C72" s="2">
        <v>11.80672032001894</v>
      </c>
      <c r="D72" s="2">
        <v>2</v>
      </c>
      <c r="E72" s="2">
        <f t="shared" si="1"/>
        <v>71</v>
      </c>
    </row>
    <row r="73" spans="3:5" x14ac:dyDescent="0.3">
      <c r="C73" s="2">
        <v>12.104817440340412</v>
      </c>
      <c r="D73" s="2">
        <v>1</v>
      </c>
      <c r="E73" s="2">
        <f t="shared" si="1"/>
        <v>72</v>
      </c>
    </row>
    <row r="74" spans="3:5" x14ac:dyDescent="0.3">
      <c r="C74" s="2">
        <v>12.107460659317439</v>
      </c>
      <c r="D74" s="2">
        <v>2</v>
      </c>
      <c r="E74" s="2">
        <f t="shared" si="1"/>
        <v>73</v>
      </c>
    </row>
    <row r="75" spans="3:5" x14ac:dyDescent="0.3">
      <c r="C75" s="2">
        <v>12.170488642150303</v>
      </c>
      <c r="D75" s="2">
        <v>2</v>
      </c>
      <c r="E75" s="2">
        <f t="shared" si="1"/>
        <v>74</v>
      </c>
    </row>
    <row r="76" spans="3:5" x14ac:dyDescent="0.3">
      <c r="C76" s="2">
        <v>12.334473947485094</v>
      </c>
      <c r="D76" s="2">
        <v>1</v>
      </c>
      <c r="E76" s="2">
        <f t="shared" si="1"/>
        <v>75</v>
      </c>
    </row>
    <row r="77" spans="3:5" x14ac:dyDescent="0.3">
      <c r="C77" s="2">
        <v>12.361908855164074</v>
      </c>
      <c r="D77" s="2">
        <v>1</v>
      </c>
      <c r="E77" s="2">
        <f t="shared" si="1"/>
        <v>76</v>
      </c>
    </row>
    <row r="78" spans="3:5" x14ac:dyDescent="0.3">
      <c r="C78" s="2">
        <v>12.468214006512426</v>
      </c>
      <c r="D78" s="2">
        <v>1</v>
      </c>
      <c r="E78" s="2">
        <f t="shared" si="1"/>
        <v>77</v>
      </c>
    </row>
    <row r="79" spans="3:5" x14ac:dyDescent="0.3">
      <c r="C79" s="2">
        <v>12.48369815381011</v>
      </c>
      <c r="D79" s="2">
        <v>2</v>
      </c>
      <c r="E79" s="2">
        <f t="shared" si="1"/>
        <v>78</v>
      </c>
    </row>
    <row r="80" spans="3:5" x14ac:dyDescent="0.3">
      <c r="C80" s="2">
        <v>12.53055986831896</v>
      </c>
      <c r="D80" s="2">
        <v>1</v>
      </c>
      <c r="E80" s="2">
        <f t="shared" si="1"/>
        <v>79</v>
      </c>
    </row>
    <row r="81" spans="3:5" x14ac:dyDescent="0.3">
      <c r="C81" s="2">
        <v>12.594017587398412</v>
      </c>
      <c r="D81" s="2">
        <v>2</v>
      </c>
      <c r="E81" s="2">
        <f t="shared" si="1"/>
        <v>80</v>
      </c>
    </row>
    <row r="82" spans="3:5" x14ac:dyDescent="0.3">
      <c r="C82" s="2">
        <v>12.834178758348571</v>
      </c>
      <c r="D82" s="2">
        <v>1</v>
      </c>
      <c r="E82" s="2">
        <f t="shared" si="1"/>
        <v>81</v>
      </c>
    </row>
    <row r="83" spans="3:5" x14ac:dyDescent="0.3">
      <c r="C83" s="2">
        <v>12.84567931885249</v>
      </c>
      <c r="D83" s="2">
        <v>1</v>
      </c>
      <c r="E83" s="2">
        <f t="shared" si="1"/>
        <v>82</v>
      </c>
    </row>
    <row r="84" spans="3:5" x14ac:dyDescent="0.3">
      <c r="C84" s="2">
        <v>13.36394805344753</v>
      </c>
      <c r="D84" s="2">
        <v>1</v>
      </c>
      <c r="E84" s="2">
        <f t="shared" si="1"/>
        <v>83</v>
      </c>
    </row>
    <row r="85" spans="3:5" x14ac:dyDescent="0.3">
      <c r="C85" s="2">
        <v>13.531852144078584</v>
      </c>
      <c r="D85" s="2">
        <v>1</v>
      </c>
      <c r="E85" s="2">
        <f t="shared" si="1"/>
        <v>84</v>
      </c>
    </row>
    <row r="86" spans="3:5" x14ac:dyDescent="0.3">
      <c r="C86" s="2">
        <v>13.631544132076669</v>
      </c>
      <c r="D86" s="2">
        <v>2</v>
      </c>
      <c r="E86" s="2">
        <f t="shared" si="1"/>
        <v>85</v>
      </c>
    </row>
    <row r="87" spans="3:5" x14ac:dyDescent="0.3">
      <c r="C87" s="2">
        <v>13.718541847774759</v>
      </c>
      <c r="D87" s="2">
        <v>2</v>
      </c>
      <c r="E87" s="2">
        <f t="shared" si="1"/>
        <v>86</v>
      </c>
    </row>
    <row r="88" spans="3:5" x14ac:dyDescent="0.3">
      <c r="C88" s="2">
        <v>13.727463990799151</v>
      </c>
      <c r="D88" s="2">
        <v>2</v>
      </c>
      <c r="E88" s="2">
        <f t="shared" si="1"/>
        <v>87</v>
      </c>
    </row>
    <row r="89" spans="3:5" x14ac:dyDescent="0.3">
      <c r="C89" s="2">
        <v>13.784748514590319</v>
      </c>
      <c r="D89" s="2">
        <v>2</v>
      </c>
      <c r="E89" s="2">
        <f t="shared" si="1"/>
        <v>88</v>
      </c>
    </row>
    <row r="90" spans="3:5" x14ac:dyDescent="0.3">
      <c r="C90" s="2">
        <v>13.808779638347914</v>
      </c>
      <c r="D90" s="2">
        <v>1</v>
      </c>
      <c r="E90" s="2">
        <f t="shared" si="1"/>
        <v>89</v>
      </c>
    </row>
    <row r="91" spans="3:5" x14ac:dyDescent="0.3">
      <c r="C91" s="2">
        <v>14.016089860670036</v>
      </c>
      <c r="D91" s="2">
        <v>1</v>
      </c>
      <c r="E91" s="2">
        <f t="shared" si="1"/>
        <v>90</v>
      </c>
    </row>
    <row r="92" spans="3:5" x14ac:dyDescent="0.3">
      <c r="C92" s="2">
        <v>14.027924660476856</v>
      </c>
      <c r="D92" s="2">
        <v>1</v>
      </c>
      <c r="E92" s="2">
        <f t="shared" si="1"/>
        <v>91</v>
      </c>
    </row>
    <row r="93" spans="3:5" x14ac:dyDescent="0.3">
      <c r="C93" s="2">
        <v>14.0347185858991</v>
      </c>
      <c r="D93" s="2">
        <v>1</v>
      </c>
      <c r="E93" s="2">
        <f t="shared" si="1"/>
        <v>92</v>
      </c>
    </row>
    <row r="94" spans="3:5" x14ac:dyDescent="0.3">
      <c r="C94" s="2">
        <v>14.343010004959069</v>
      </c>
      <c r="D94" s="2">
        <v>2</v>
      </c>
      <c r="E94" s="2">
        <f t="shared" si="1"/>
        <v>93</v>
      </c>
    </row>
    <row r="95" spans="3:5" x14ac:dyDescent="0.3">
      <c r="C95" s="2">
        <v>14.654370968637522</v>
      </c>
      <c r="D95" s="2">
        <v>1</v>
      </c>
      <c r="E95" s="2">
        <f t="shared" si="1"/>
        <v>94</v>
      </c>
    </row>
    <row r="96" spans="3:5" x14ac:dyDescent="0.3">
      <c r="C96" s="2">
        <v>14.920711944578215</v>
      </c>
      <c r="D96" s="2">
        <v>2</v>
      </c>
      <c r="E96" s="2">
        <f t="shared" si="1"/>
        <v>95</v>
      </c>
    </row>
    <row r="97" spans="3:5" x14ac:dyDescent="0.3">
      <c r="C97" s="2">
        <v>15.563624654314481</v>
      </c>
      <c r="D97" s="2">
        <v>2</v>
      </c>
      <c r="E97" s="2">
        <f t="shared" si="1"/>
        <v>96</v>
      </c>
    </row>
    <row r="98" spans="3:5" x14ac:dyDescent="0.3">
      <c r="C98" s="2">
        <v>15.666788638336584</v>
      </c>
      <c r="D98" s="2">
        <v>2</v>
      </c>
      <c r="E98" s="2">
        <f t="shared" si="1"/>
        <v>97</v>
      </c>
    </row>
    <row r="99" spans="3:5" x14ac:dyDescent="0.3">
      <c r="C99" s="2">
        <v>16.130085239419714</v>
      </c>
      <c r="D99" s="2">
        <v>2</v>
      </c>
      <c r="E99" s="2">
        <f t="shared" si="1"/>
        <v>98</v>
      </c>
    </row>
    <row r="100" spans="3:5" x14ac:dyDescent="0.3">
      <c r="C100" s="2">
        <v>16.290383680607192</v>
      </c>
      <c r="D100" s="2">
        <v>2</v>
      </c>
      <c r="E100" s="2">
        <f t="shared" si="1"/>
        <v>99</v>
      </c>
    </row>
    <row r="101" spans="3:5" x14ac:dyDescent="0.3">
      <c r="C101" s="2">
        <v>21.525116860866547</v>
      </c>
      <c r="D101" s="2">
        <v>1</v>
      </c>
      <c r="E101" s="2">
        <f t="shared" si="1"/>
        <v>100</v>
      </c>
    </row>
  </sheetData>
  <sortState ref="C2:D101">
    <sortCondition ref="C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topLeftCell="C1" workbookViewId="0">
      <selection activeCell="H4" sqref="H4"/>
    </sheetView>
  </sheetViews>
  <sheetFormatPr defaultRowHeight="14.4" x14ac:dyDescent="0.3"/>
  <cols>
    <col min="1" max="4" width="8.88671875" style="2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t="s">
        <v>12</v>
      </c>
      <c r="F1" s="5" t="s">
        <v>11</v>
      </c>
      <c r="G1" t="s">
        <v>13</v>
      </c>
      <c r="H1" t="s">
        <v>14</v>
      </c>
      <c r="I1" t="s">
        <v>10</v>
      </c>
    </row>
    <row r="2" spans="1:9" x14ac:dyDescent="0.3">
      <c r="A2" s="2">
        <v>8.5667648161324905</v>
      </c>
      <c r="B2" s="2">
        <v>7.7170602960541146</v>
      </c>
      <c r="C2" s="2">
        <v>0.15999492257833481</v>
      </c>
      <c r="D2" s="2">
        <v>1</v>
      </c>
      <c r="E2">
        <f>COUNTIF(A:A,"&lt;="&amp;C2)/COUNT(A:A)</f>
        <v>0.02</v>
      </c>
      <c r="F2">
        <f>COUNTIF(B:B,"&lt;="&amp;C2)/COUNT(B:B)</f>
        <v>0</v>
      </c>
      <c r="G2">
        <f>ABS(E2 - F2)</f>
        <v>0.02</v>
      </c>
      <c r="H2">
        <f>MAX(G2:G101)</f>
        <v>0.12000000000000005</v>
      </c>
      <c r="I2">
        <f>SQRT(-0.5*LN(0.05/2)) * SQRT((50+50)/(50*50))</f>
        <v>0.27162030314812391</v>
      </c>
    </row>
    <row r="3" spans="1:9" x14ac:dyDescent="0.3">
      <c r="A3" s="2">
        <v>9.9725753241364146</v>
      </c>
      <c r="B3" s="2">
        <v>8.5262468271685066</v>
      </c>
      <c r="C3" s="2">
        <v>4.2051636026008055</v>
      </c>
      <c r="D3" s="2">
        <v>2</v>
      </c>
      <c r="E3" s="2">
        <f t="shared" ref="E3:E66" si="0">COUNTIF(A:A,"&lt;="&amp;C3)/COUNT(A:A)</f>
        <v>0.02</v>
      </c>
      <c r="F3" s="2">
        <f t="shared" ref="F3:F66" si="1">COUNTIF(B:B,"&lt;="&amp;C3)/COUNT(B:B)</f>
        <v>0.02</v>
      </c>
      <c r="G3" s="2">
        <f t="shared" ref="G3:G66" si="2">ABS(E3 - F3)</f>
        <v>0</v>
      </c>
      <c r="H3" t="str">
        <f>IF(H2 &gt; I2, "Гипотеза отвергается", "Гипотеза не отвергается")</f>
        <v>Гипотеза не отвергается</v>
      </c>
    </row>
    <row r="4" spans="1:9" x14ac:dyDescent="0.3">
      <c r="A4" s="2">
        <v>11.101877842302201</v>
      </c>
      <c r="B4" s="2">
        <v>4.6386105875717476</v>
      </c>
      <c r="C4" s="2">
        <v>4.6386105875717476</v>
      </c>
      <c r="D4" s="2">
        <v>2</v>
      </c>
      <c r="E4" s="2">
        <f t="shared" si="0"/>
        <v>0.02</v>
      </c>
      <c r="F4" s="2">
        <f t="shared" si="1"/>
        <v>0.04</v>
      </c>
      <c r="G4" s="2">
        <f t="shared" si="2"/>
        <v>0.02</v>
      </c>
    </row>
    <row r="5" spans="1:9" x14ac:dyDescent="0.3">
      <c r="A5" s="2">
        <v>5.4707573124323972</v>
      </c>
      <c r="B5" s="2">
        <v>10.170492739925976</v>
      </c>
      <c r="C5" s="2">
        <v>4.6611205814406276</v>
      </c>
      <c r="D5" s="2">
        <v>2</v>
      </c>
      <c r="E5" s="2">
        <f t="shared" si="0"/>
        <v>0.02</v>
      </c>
      <c r="F5" s="2">
        <f t="shared" si="1"/>
        <v>0.04</v>
      </c>
      <c r="G5" s="2">
        <f t="shared" si="2"/>
        <v>0.02</v>
      </c>
    </row>
    <row r="6" spans="1:9" x14ac:dyDescent="0.3">
      <c r="A6" s="2">
        <v>14.654370968637522</v>
      </c>
      <c r="B6" s="2">
        <v>11.433490979252383</v>
      </c>
      <c r="C6" s="2">
        <v>4.9963694234611467</v>
      </c>
      <c r="D6" s="2">
        <v>1</v>
      </c>
      <c r="E6" s="2">
        <f t="shared" si="0"/>
        <v>0.04</v>
      </c>
      <c r="F6" s="2">
        <f t="shared" si="1"/>
        <v>0.06</v>
      </c>
      <c r="G6" s="2">
        <f t="shared" si="2"/>
        <v>1.9999999999999997E-2</v>
      </c>
    </row>
    <row r="7" spans="1:9" x14ac:dyDescent="0.3">
      <c r="A7" s="2">
        <v>7.5292075760080479</v>
      </c>
      <c r="B7" s="2">
        <v>4.6611205814406276</v>
      </c>
      <c r="C7" s="2">
        <v>5.1728887026547454</v>
      </c>
      <c r="D7" s="2">
        <v>1</v>
      </c>
      <c r="E7" s="2">
        <f t="shared" si="0"/>
        <v>0.06</v>
      </c>
      <c r="F7" s="2">
        <f t="shared" si="1"/>
        <v>0.06</v>
      </c>
      <c r="G7" s="2">
        <f t="shared" si="2"/>
        <v>0</v>
      </c>
    </row>
    <row r="8" spans="1:9" x14ac:dyDescent="0.3">
      <c r="A8" s="2">
        <v>8.559299001499312</v>
      </c>
      <c r="B8" s="2">
        <v>13.718541847774759</v>
      </c>
      <c r="C8" s="2">
        <v>5.2387133816955611</v>
      </c>
      <c r="D8" s="2">
        <v>1</v>
      </c>
      <c r="E8" s="2">
        <f t="shared" si="0"/>
        <v>0.08</v>
      </c>
      <c r="F8" s="2">
        <f t="shared" si="1"/>
        <v>0.06</v>
      </c>
      <c r="G8" s="2">
        <f t="shared" si="2"/>
        <v>2.0000000000000004E-2</v>
      </c>
    </row>
    <row r="9" spans="1:9" x14ac:dyDescent="0.3">
      <c r="A9" s="2">
        <v>5.1728887026547454</v>
      </c>
      <c r="B9" s="2">
        <v>12.48369815381011</v>
      </c>
      <c r="C9" s="2">
        <v>5.3593396639917046</v>
      </c>
      <c r="D9" s="2">
        <v>1</v>
      </c>
      <c r="E9" s="2">
        <f t="shared" si="0"/>
        <v>0.1</v>
      </c>
      <c r="F9" s="2">
        <f t="shared" si="1"/>
        <v>0.06</v>
      </c>
      <c r="G9" s="2">
        <f t="shared" si="2"/>
        <v>4.0000000000000008E-2</v>
      </c>
    </row>
    <row r="10" spans="1:9" x14ac:dyDescent="0.3">
      <c r="A10" s="2">
        <v>12.104817440340412</v>
      </c>
      <c r="B10" s="2">
        <v>10.192794686881825</v>
      </c>
      <c r="C10" s="2">
        <v>5.4707573124323972</v>
      </c>
      <c r="D10" s="2">
        <v>1</v>
      </c>
      <c r="E10" s="2">
        <f t="shared" si="0"/>
        <v>0.12</v>
      </c>
      <c r="F10" s="2">
        <f t="shared" si="1"/>
        <v>0.06</v>
      </c>
      <c r="G10" s="2">
        <f t="shared" si="2"/>
        <v>0.06</v>
      </c>
    </row>
    <row r="11" spans="1:9" x14ac:dyDescent="0.3">
      <c r="A11" s="2">
        <v>0.15999492257833481</v>
      </c>
      <c r="B11" s="2">
        <v>16.130085239419714</v>
      </c>
      <c r="C11" s="2">
        <v>5.823618519352749</v>
      </c>
      <c r="D11" s="2">
        <v>1</v>
      </c>
      <c r="E11" s="2">
        <f t="shared" si="0"/>
        <v>0.12</v>
      </c>
      <c r="F11" s="2">
        <f t="shared" si="1"/>
        <v>0.06</v>
      </c>
      <c r="G11" s="2">
        <f t="shared" si="2"/>
        <v>0.06</v>
      </c>
    </row>
    <row r="12" spans="1:9" x14ac:dyDescent="0.3">
      <c r="A12" s="2">
        <v>8.9409730005718302</v>
      </c>
      <c r="B12" s="2">
        <v>8.4083115123212337</v>
      </c>
      <c r="C12" s="2">
        <v>6.3593631946423557</v>
      </c>
      <c r="D12" s="2">
        <v>2</v>
      </c>
      <c r="E12" s="2">
        <f t="shared" si="0"/>
        <v>0.14000000000000001</v>
      </c>
      <c r="F12" s="2">
        <f t="shared" si="1"/>
        <v>0.08</v>
      </c>
      <c r="G12" s="2">
        <f t="shared" si="2"/>
        <v>6.0000000000000012E-2</v>
      </c>
    </row>
    <row r="13" spans="1:9" x14ac:dyDescent="0.3">
      <c r="A13" s="2">
        <v>4.9963694234611467</v>
      </c>
      <c r="B13" s="2">
        <v>16.290383680607192</v>
      </c>
      <c r="C13" s="2">
        <v>6.3655841384024825</v>
      </c>
      <c r="D13" s="2">
        <v>2</v>
      </c>
      <c r="E13" s="2">
        <f t="shared" si="0"/>
        <v>0.14000000000000001</v>
      </c>
      <c r="F13" s="2">
        <f t="shared" si="1"/>
        <v>0.1</v>
      </c>
      <c r="G13" s="2">
        <f t="shared" si="2"/>
        <v>4.0000000000000008E-2</v>
      </c>
    </row>
    <row r="14" spans="1:9" x14ac:dyDescent="0.3">
      <c r="A14" s="2">
        <v>5.823618519352749</v>
      </c>
      <c r="B14" s="2">
        <v>9.8053669969522161</v>
      </c>
      <c r="C14" s="2">
        <v>6.4497237670002505</v>
      </c>
      <c r="D14" s="2">
        <v>2</v>
      </c>
      <c r="E14" s="2">
        <f t="shared" si="0"/>
        <v>0.14000000000000001</v>
      </c>
      <c r="F14" s="2">
        <f t="shared" si="1"/>
        <v>0.12</v>
      </c>
      <c r="G14" s="2">
        <f t="shared" si="2"/>
        <v>2.0000000000000018E-2</v>
      </c>
    </row>
    <row r="15" spans="1:9" x14ac:dyDescent="0.3">
      <c r="A15" s="2">
        <v>21.525116860866547</v>
      </c>
      <c r="B15" s="2">
        <v>9.8274404333642451</v>
      </c>
      <c r="C15" s="2">
        <v>6.5387542033568025</v>
      </c>
      <c r="D15" s="2">
        <v>2</v>
      </c>
      <c r="E15" s="2">
        <f t="shared" si="0"/>
        <v>0.14000000000000001</v>
      </c>
      <c r="F15" s="2">
        <f t="shared" si="1"/>
        <v>0.14000000000000001</v>
      </c>
      <c r="G15" s="2">
        <f t="shared" si="2"/>
        <v>0</v>
      </c>
    </row>
    <row r="16" spans="1:9" x14ac:dyDescent="0.3">
      <c r="A16" s="2">
        <v>12.53055986831896</v>
      </c>
      <c r="B16" s="2">
        <v>7.3842363942821976</v>
      </c>
      <c r="C16" s="2">
        <v>6.6544964991044253</v>
      </c>
      <c r="D16" s="2">
        <v>2</v>
      </c>
      <c r="E16" s="2">
        <f t="shared" si="0"/>
        <v>0.14000000000000001</v>
      </c>
      <c r="F16" s="2">
        <f t="shared" si="1"/>
        <v>0.14000000000000001</v>
      </c>
      <c r="G16" s="2">
        <f t="shared" si="2"/>
        <v>0</v>
      </c>
    </row>
    <row r="17" spans="1:7" x14ac:dyDescent="0.3">
      <c r="A17" s="2">
        <v>9.1232834872789681</v>
      </c>
      <c r="B17" s="2">
        <v>13.727463990799151</v>
      </c>
      <c r="C17" s="2">
        <v>6.6723885336250532</v>
      </c>
      <c r="D17" s="2">
        <v>1</v>
      </c>
      <c r="E17" s="2">
        <f t="shared" si="0"/>
        <v>0.16</v>
      </c>
      <c r="F17" s="2">
        <f t="shared" si="1"/>
        <v>0.16</v>
      </c>
      <c r="G17" s="2">
        <f t="shared" si="2"/>
        <v>0</v>
      </c>
    </row>
    <row r="18" spans="1:7" x14ac:dyDescent="0.3">
      <c r="A18" s="2">
        <v>7.7118454808078241</v>
      </c>
      <c r="B18" s="2">
        <v>11.647711087571224</v>
      </c>
      <c r="C18" s="2">
        <v>6.701944837695919</v>
      </c>
      <c r="D18" s="2">
        <v>2</v>
      </c>
      <c r="E18" s="2">
        <f t="shared" si="0"/>
        <v>0.16</v>
      </c>
      <c r="F18" s="2">
        <f t="shared" si="1"/>
        <v>0.18</v>
      </c>
      <c r="G18" s="2">
        <f t="shared" si="2"/>
        <v>1.999999999999999E-2</v>
      </c>
    </row>
    <row r="19" spans="1:7" x14ac:dyDescent="0.3">
      <c r="A19" s="2">
        <v>12.361908855164074</v>
      </c>
      <c r="B19" s="2">
        <v>11.068801793735474</v>
      </c>
      <c r="C19" s="2">
        <v>6.9700866131461225</v>
      </c>
      <c r="D19" s="2">
        <v>1</v>
      </c>
      <c r="E19" s="2">
        <f t="shared" si="0"/>
        <v>0.18</v>
      </c>
      <c r="F19" s="2">
        <f t="shared" si="1"/>
        <v>0.18</v>
      </c>
      <c r="G19" s="2">
        <f t="shared" si="2"/>
        <v>0</v>
      </c>
    </row>
    <row r="20" spans="1:7" x14ac:dyDescent="0.3">
      <c r="A20" s="2">
        <v>12.834178758348571</v>
      </c>
      <c r="B20" s="2">
        <v>12.594017587398412</v>
      </c>
      <c r="C20" s="2">
        <v>7.3842363942821976</v>
      </c>
      <c r="D20" s="2">
        <v>2</v>
      </c>
      <c r="E20" s="2">
        <f t="shared" si="0"/>
        <v>0.18</v>
      </c>
      <c r="F20" s="2">
        <f t="shared" si="1"/>
        <v>0.2</v>
      </c>
      <c r="G20" s="2">
        <f t="shared" si="2"/>
        <v>2.0000000000000018E-2</v>
      </c>
    </row>
    <row r="21" spans="1:7" x14ac:dyDescent="0.3">
      <c r="A21" s="2">
        <v>6.9700866131461225</v>
      </c>
      <c r="B21" s="2">
        <v>11.185792370961281</v>
      </c>
      <c r="C21" s="2">
        <v>7.4883894537924789</v>
      </c>
      <c r="D21" s="2">
        <v>1</v>
      </c>
      <c r="E21" s="2">
        <f t="shared" si="0"/>
        <v>0.2</v>
      </c>
      <c r="F21" s="2">
        <f t="shared" si="1"/>
        <v>0.2</v>
      </c>
      <c r="G21" s="2">
        <f t="shared" si="2"/>
        <v>0</v>
      </c>
    </row>
    <row r="22" spans="1:7" x14ac:dyDescent="0.3">
      <c r="A22" s="2">
        <v>9.0010951478325296</v>
      </c>
      <c r="B22" s="2">
        <v>13.631544132076669</v>
      </c>
      <c r="C22" s="2">
        <v>7.5292075760080479</v>
      </c>
      <c r="D22" s="2">
        <v>1</v>
      </c>
      <c r="E22" s="2">
        <f t="shared" si="0"/>
        <v>0.22</v>
      </c>
      <c r="F22" s="2">
        <f t="shared" si="1"/>
        <v>0.2</v>
      </c>
      <c r="G22" s="2">
        <f t="shared" si="2"/>
        <v>1.999999999999999E-2</v>
      </c>
    </row>
    <row r="23" spans="1:7" x14ac:dyDescent="0.3">
      <c r="A23" s="2">
        <v>14.027924660476856</v>
      </c>
      <c r="B23" s="2">
        <v>13.784748514590319</v>
      </c>
      <c r="C23" s="2">
        <v>7.5902301230235025</v>
      </c>
      <c r="D23" s="2">
        <v>2</v>
      </c>
      <c r="E23" s="2">
        <f t="shared" si="0"/>
        <v>0.22</v>
      </c>
      <c r="F23" s="2">
        <f t="shared" si="1"/>
        <v>0.22</v>
      </c>
      <c r="G23" s="2">
        <f t="shared" si="2"/>
        <v>0</v>
      </c>
    </row>
    <row r="24" spans="1:7" x14ac:dyDescent="0.3">
      <c r="A24" s="2">
        <v>14.016089860670036</v>
      </c>
      <c r="B24" s="2">
        <v>6.701944837695919</v>
      </c>
      <c r="C24" s="2">
        <v>7.636525677080499</v>
      </c>
      <c r="D24" s="2">
        <v>2</v>
      </c>
      <c r="E24" s="2">
        <f t="shared" si="0"/>
        <v>0.22</v>
      </c>
      <c r="F24" s="2">
        <f t="shared" si="1"/>
        <v>0.24</v>
      </c>
      <c r="G24" s="2">
        <f t="shared" si="2"/>
        <v>1.999999999999999E-2</v>
      </c>
    </row>
    <row r="25" spans="1:7" x14ac:dyDescent="0.3">
      <c r="A25" s="2">
        <v>5.2387133816955611</v>
      </c>
      <c r="B25" s="2">
        <v>14.343010004959069</v>
      </c>
      <c r="C25" s="2">
        <v>7.7118454808078241</v>
      </c>
      <c r="D25" s="2">
        <v>1</v>
      </c>
      <c r="E25" s="2">
        <f t="shared" si="0"/>
        <v>0.24</v>
      </c>
      <c r="F25" s="2">
        <f t="shared" si="1"/>
        <v>0.24</v>
      </c>
      <c r="G25" s="2">
        <f t="shared" si="2"/>
        <v>0</v>
      </c>
    </row>
    <row r="26" spans="1:7" x14ac:dyDescent="0.3">
      <c r="A26" s="2">
        <v>11.19348669613828</v>
      </c>
      <c r="B26" s="2">
        <v>10.712454948370578</v>
      </c>
      <c r="C26" s="2">
        <v>7.7170602960541146</v>
      </c>
      <c r="D26" s="2">
        <v>2</v>
      </c>
      <c r="E26" s="2">
        <f t="shared" si="0"/>
        <v>0.24</v>
      </c>
      <c r="F26" s="2">
        <f t="shared" si="1"/>
        <v>0.26</v>
      </c>
      <c r="G26" s="2">
        <f t="shared" si="2"/>
        <v>2.0000000000000018E-2</v>
      </c>
    </row>
    <row r="27" spans="1:7" x14ac:dyDescent="0.3">
      <c r="A27" s="2">
        <v>12.84567931885249</v>
      </c>
      <c r="B27" s="2">
        <v>8.2762324179930147</v>
      </c>
      <c r="C27" s="2">
        <v>7.787554093520157</v>
      </c>
      <c r="D27" s="2">
        <v>1</v>
      </c>
      <c r="E27" s="2">
        <f t="shared" si="0"/>
        <v>0.26</v>
      </c>
      <c r="F27" s="2">
        <f t="shared" si="1"/>
        <v>0.26</v>
      </c>
      <c r="G27" s="2">
        <f t="shared" si="2"/>
        <v>0</v>
      </c>
    </row>
    <row r="28" spans="1:7" x14ac:dyDescent="0.3">
      <c r="A28" s="2">
        <v>11.150635853264248</v>
      </c>
      <c r="B28" s="2">
        <v>7.636525677080499</v>
      </c>
      <c r="C28" s="2">
        <v>8.0996722115378361</v>
      </c>
      <c r="D28" s="2">
        <v>1</v>
      </c>
      <c r="E28" s="2">
        <f t="shared" si="0"/>
        <v>0.28000000000000003</v>
      </c>
      <c r="F28" s="2">
        <f t="shared" si="1"/>
        <v>0.26</v>
      </c>
      <c r="G28" s="2">
        <f t="shared" si="2"/>
        <v>2.0000000000000018E-2</v>
      </c>
    </row>
    <row r="29" spans="1:7" x14ac:dyDescent="0.3">
      <c r="A29" s="2">
        <v>14.0347185858991</v>
      </c>
      <c r="B29" s="2">
        <v>11.507507931819418</v>
      </c>
      <c r="C29" s="2">
        <v>8.1019163897144608</v>
      </c>
      <c r="D29" s="2">
        <v>1</v>
      </c>
      <c r="E29" s="2">
        <f t="shared" si="0"/>
        <v>0.3</v>
      </c>
      <c r="F29" s="2">
        <f t="shared" si="1"/>
        <v>0.26</v>
      </c>
      <c r="G29" s="2">
        <f t="shared" si="2"/>
        <v>3.999999999999998E-2</v>
      </c>
    </row>
    <row r="30" spans="1:7" x14ac:dyDescent="0.3">
      <c r="A30" s="2">
        <v>7.4883894537924789</v>
      </c>
      <c r="B30" s="2">
        <v>6.4497237670002505</v>
      </c>
      <c r="C30" s="2">
        <v>8.2762324179930147</v>
      </c>
      <c r="D30" s="2">
        <v>2</v>
      </c>
      <c r="E30" s="2">
        <f t="shared" si="0"/>
        <v>0.3</v>
      </c>
      <c r="F30" s="2">
        <f t="shared" si="1"/>
        <v>0.28000000000000003</v>
      </c>
      <c r="G30" s="2">
        <f t="shared" si="2"/>
        <v>1.9999999999999962E-2</v>
      </c>
    </row>
    <row r="31" spans="1:7" x14ac:dyDescent="0.3">
      <c r="A31" s="2">
        <v>13.36394805344753</v>
      </c>
      <c r="B31" s="2">
        <v>11.80672032001894</v>
      </c>
      <c r="C31" s="2">
        <v>8.4083115123212337</v>
      </c>
      <c r="D31" s="2">
        <v>2</v>
      </c>
      <c r="E31" s="2">
        <f t="shared" si="0"/>
        <v>0.3</v>
      </c>
      <c r="F31" s="2">
        <f t="shared" si="1"/>
        <v>0.3</v>
      </c>
      <c r="G31" s="2">
        <f t="shared" si="2"/>
        <v>0</v>
      </c>
    </row>
    <row r="32" spans="1:7" x14ac:dyDescent="0.3">
      <c r="A32" s="2">
        <v>9.6855899553338531</v>
      </c>
      <c r="B32" s="2">
        <v>9.0362005064525874</v>
      </c>
      <c r="C32" s="2">
        <v>8.5262468271685066</v>
      </c>
      <c r="D32" s="2">
        <v>2</v>
      </c>
      <c r="E32" s="2">
        <f t="shared" si="0"/>
        <v>0.3</v>
      </c>
      <c r="F32" s="2">
        <f t="shared" si="1"/>
        <v>0.32</v>
      </c>
      <c r="G32" s="2">
        <f t="shared" si="2"/>
        <v>2.0000000000000018E-2</v>
      </c>
    </row>
    <row r="33" spans="1:7" x14ac:dyDescent="0.3">
      <c r="A33" s="2">
        <v>12.334473947485094</v>
      </c>
      <c r="B33" s="2">
        <v>6.5387542033568025</v>
      </c>
      <c r="C33" s="2">
        <v>8.559299001499312</v>
      </c>
      <c r="D33" s="2">
        <v>1</v>
      </c>
      <c r="E33" s="2">
        <f t="shared" si="0"/>
        <v>0.32</v>
      </c>
      <c r="F33" s="2">
        <f t="shared" si="1"/>
        <v>0.32</v>
      </c>
      <c r="G33" s="2">
        <f t="shared" si="2"/>
        <v>0</v>
      </c>
    </row>
    <row r="34" spans="1:7" x14ac:dyDescent="0.3">
      <c r="A34" s="2">
        <v>9.4746508491516579</v>
      </c>
      <c r="B34" s="2">
        <v>15.563624654314481</v>
      </c>
      <c r="C34" s="2">
        <v>8.5667648161324905</v>
      </c>
      <c r="D34" s="2">
        <v>1</v>
      </c>
      <c r="E34" s="2">
        <f t="shared" si="0"/>
        <v>0.34</v>
      </c>
      <c r="F34" s="2">
        <f t="shared" si="1"/>
        <v>0.32</v>
      </c>
      <c r="G34" s="2">
        <f t="shared" si="2"/>
        <v>2.0000000000000018E-2</v>
      </c>
    </row>
    <row r="35" spans="1:7" x14ac:dyDescent="0.3">
      <c r="A35" s="2">
        <v>9.5815392139775213</v>
      </c>
      <c r="B35" s="2">
        <v>6.6544964991044253</v>
      </c>
      <c r="C35" s="2">
        <v>8.5834631388570415</v>
      </c>
      <c r="D35" s="2">
        <v>2</v>
      </c>
      <c r="E35" s="2">
        <f t="shared" si="0"/>
        <v>0.34</v>
      </c>
      <c r="F35" s="2">
        <f t="shared" si="1"/>
        <v>0.34</v>
      </c>
      <c r="G35" s="2">
        <f t="shared" si="2"/>
        <v>0</v>
      </c>
    </row>
    <row r="36" spans="1:7" x14ac:dyDescent="0.3">
      <c r="A36" s="2">
        <v>10.515096871822607</v>
      </c>
      <c r="B36" s="2">
        <v>6.3593631946423557</v>
      </c>
      <c r="C36" s="2">
        <v>8.7195565154252108</v>
      </c>
      <c r="D36" s="2">
        <v>2</v>
      </c>
      <c r="E36" s="2">
        <f t="shared" si="0"/>
        <v>0.34</v>
      </c>
      <c r="F36" s="2">
        <f t="shared" si="1"/>
        <v>0.36</v>
      </c>
      <c r="G36" s="2">
        <f t="shared" si="2"/>
        <v>1.9999999999999962E-2</v>
      </c>
    </row>
    <row r="37" spans="1:7" x14ac:dyDescent="0.3">
      <c r="A37" s="2">
        <v>5.3593396639917046</v>
      </c>
      <c r="B37" s="2">
        <v>10.556372015125817</v>
      </c>
      <c r="C37" s="2">
        <v>8.8258616667735623</v>
      </c>
      <c r="D37" s="2">
        <v>2</v>
      </c>
      <c r="E37" s="2">
        <f t="shared" si="0"/>
        <v>0.34</v>
      </c>
      <c r="F37" s="2">
        <f t="shared" si="1"/>
        <v>0.38</v>
      </c>
      <c r="G37" s="2">
        <f t="shared" si="2"/>
        <v>3.999999999999998E-2</v>
      </c>
    </row>
    <row r="38" spans="1:7" x14ac:dyDescent="0.3">
      <c r="A38" s="2">
        <v>9.3090079897228861</v>
      </c>
      <c r="B38" s="2">
        <v>4.2051636026008055</v>
      </c>
      <c r="C38" s="2">
        <v>8.9409730005718302</v>
      </c>
      <c r="D38" s="2">
        <v>1</v>
      </c>
      <c r="E38" s="2">
        <f t="shared" si="0"/>
        <v>0.36</v>
      </c>
      <c r="F38" s="2">
        <f t="shared" si="1"/>
        <v>0.38</v>
      </c>
      <c r="G38" s="2">
        <f t="shared" si="2"/>
        <v>2.0000000000000018E-2</v>
      </c>
    </row>
    <row r="39" spans="1:7" x14ac:dyDescent="0.3">
      <c r="A39" s="2">
        <v>6.6723885336250532</v>
      </c>
      <c r="B39" s="2">
        <v>10.273363411906757</v>
      </c>
      <c r="C39" s="2">
        <v>9.0010951478325296</v>
      </c>
      <c r="D39" s="2">
        <v>1</v>
      </c>
      <c r="E39" s="2">
        <f t="shared" si="0"/>
        <v>0.38</v>
      </c>
      <c r="F39" s="2">
        <f t="shared" si="1"/>
        <v>0.38</v>
      </c>
      <c r="G39" s="2">
        <f t="shared" si="2"/>
        <v>0</v>
      </c>
    </row>
    <row r="40" spans="1:7" x14ac:dyDescent="0.3">
      <c r="A40" s="2">
        <v>9.3226708738802699</v>
      </c>
      <c r="B40" s="2">
        <v>12.170488642150303</v>
      </c>
      <c r="C40" s="2">
        <v>9.0044921105436515</v>
      </c>
      <c r="D40" s="2">
        <v>1</v>
      </c>
      <c r="E40" s="2">
        <f t="shared" si="0"/>
        <v>0.4</v>
      </c>
      <c r="F40" s="2">
        <f t="shared" si="1"/>
        <v>0.38</v>
      </c>
      <c r="G40" s="2">
        <f t="shared" si="2"/>
        <v>2.0000000000000018E-2</v>
      </c>
    </row>
    <row r="41" spans="1:7" x14ac:dyDescent="0.3">
      <c r="A41" s="2">
        <v>9.6511837707657833</v>
      </c>
      <c r="B41" s="2">
        <v>7.5902301230235025</v>
      </c>
      <c r="C41" s="2">
        <v>9.0137007443991024</v>
      </c>
      <c r="D41" s="2">
        <v>2</v>
      </c>
      <c r="E41" s="2">
        <f t="shared" si="0"/>
        <v>0.4</v>
      </c>
      <c r="F41" s="2">
        <f t="shared" si="1"/>
        <v>0.4</v>
      </c>
      <c r="G41" s="2">
        <f t="shared" si="2"/>
        <v>0</v>
      </c>
    </row>
    <row r="42" spans="1:7" x14ac:dyDescent="0.3">
      <c r="A42" s="2">
        <v>10.139237954499549</v>
      </c>
      <c r="B42" s="2">
        <v>12.107460659317439</v>
      </c>
      <c r="C42" s="2">
        <v>9.0362005064525874</v>
      </c>
      <c r="D42" s="2">
        <v>2</v>
      </c>
      <c r="E42" s="2">
        <f t="shared" si="0"/>
        <v>0.4</v>
      </c>
      <c r="F42" s="2">
        <f t="shared" si="1"/>
        <v>0.42</v>
      </c>
      <c r="G42" s="2">
        <f t="shared" si="2"/>
        <v>1.9999999999999962E-2</v>
      </c>
    </row>
    <row r="43" spans="1:7" x14ac:dyDescent="0.3">
      <c r="A43" s="2">
        <v>12.468214006512426</v>
      </c>
      <c r="B43" s="2">
        <v>6.3655841384024825</v>
      </c>
      <c r="C43" s="2">
        <v>9.1232834872789681</v>
      </c>
      <c r="D43" s="2">
        <v>1</v>
      </c>
      <c r="E43" s="2">
        <f t="shared" si="0"/>
        <v>0.4</v>
      </c>
      <c r="F43" s="2">
        <f t="shared" si="1"/>
        <v>0.42</v>
      </c>
      <c r="G43" s="2">
        <f t="shared" si="2"/>
        <v>1.9999999999999962E-2</v>
      </c>
    </row>
    <row r="44" spans="1:7" x14ac:dyDescent="0.3">
      <c r="A44" s="2">
        <v>13.808779638347914</v>
      </c>
      <c r="B44" s="2">
        <v>10.774933823777246</v>
      </c>
      <c r="C44" s="2">
        <v>9.3090079897228861</v>
      </c>
      <c r="D44" s="2">
        <v>1</v>
      </c>
      <c r="E44" s="2">
        <f t="shared" si="0"/>
        <v>0.44</v>
      </c>
      <c r="F44" s="2">
        <f t="shared" si="1"/>
        <v>0.42</v>
      </c>
      <c r="G44" s="2">
        <f t="shared" si="2"/>
        <v>2.0000000000000018E-2</v>
      </c>
    </row>
    <row r="45" spans="1:7" x14ac:dyDescent="0.3">
      <c r="A45" s="2">
        <v>8.1019163897144608</v>
      </c>
      <c r="B45" s="2">
        <v>8.8258616667735623</v>
      </c>
      <c r="C45" s="2">
        <v>9.3226708738802699</v>
      </c>
      <c r="D45" s="2">
        <v>1</v>
      </c>
      <c r="E45" s="2">
        <f t="shared" si="0"/>
        <v>0.46</v>
      </c>
      <c r="F45" s="2">
        <f t="shared" si="1"/>
        <v>0.42</v>
      </c>
      <c r="G45" s="2">
        <f t="shared" si="2"/>
        <v>4.0000000000000036E-2</v>
      </c>
    </row>
    <row r="46" spans="1:7" x14ac:dyDescent="0.3">
      <c r="A46" s="2">
        <v>7.787554093520157</v>
      </c>
      <c r="B46" s="2">
        <v>9.0137007443991024</v>
      </c>
      <c r="C46" s="2">
        <v>9.4746508491516579</v>
      </c>
      <c r="D46" s="2">
        <v>1</v>
      </c>
      <c r="E46" s="2">
        <f t="shared" si="0"/>
        <v>0.48</v>
      </c>
      <c r="F46" s="2">
        <f t="shared" si="1"/>
        <v>0.42</v>
      </c>
      <c r="G46" s="2">
        <f t="shared" si="2"/>
        <v>0.06</v>
      </c>
    </row>
    <row r="47" spans="1:7" x14ac:dyDescent="0.3">
      <c r="A47" s="2">
        <v>9.0044921105436515</v>
      </c>
      <c r="B47" s="2">
        <v>8.5834631388570415</v>
      </c>
      <c r="C47" s="2">
        <v>9.5815392139775213</v>
      </c>
      <c r="D47" s="2">
        <v>1</v>
      </c>
      <c r="E47" s="2">
        <f t="shared" si="0"/>
        <v>0.5</v>
      </c>
      <c r="F47" s="2">
        <f t="shared" si="1"/>
        <v>0.42</v>
      </c>
      <c r="G47" s="2">
        <f t="shared" si="2"/>
        <v>8.0000000000000016E-2</v>
      </c>
    </row>
    <row r="48" spans="1:7" x14ac:dyDescent="0.3">
      <c r="A48" s="2">
        <v>11.028791984936106</v>
      </c>
      <c r="B48" s="2">
        <v>10.176468120116624</v>
      </c>
      <c r="C48" s="2">
        <v>9.6511837707657833</v>
      </c>
      <c r="D48" s="2">
        <v>1</v>
      </c>
      <c r="E48" s="2">
        <f t="shared" si="0"/>
        <v>0.52</v>
      </c>
      <c r="F48" s="2">
        <f t="shared" si="1"/>
        <v>0.42</v>
      </c>
      <c r="G48" s="2">
        <f t="shared" si="2"/>
        <v>0.10000000000000003</v>
      </c>
    </row>
    <row r="49" spans="1:7" x14ac:dyDescent="0.3">
      <c r="A49" s="2">
        <v>13.531852144078584</v>
      </c>
      <c r="B49" s="2">
        <v>15.666788638336584</v>
      </c>
      <c r="C49" s="2">
        <v>9.6855899553338531</v>
      </c>
      <c r="D49" s="2">
        <v>1</v>
      </c>
      <c r="E49" s="2">
        <f t="shared" si="0"/>
        <v>0.54</v>
      </c>
      <c r="F49" s="2">
        <f t="shared" si="1"/>
        <v>0.42</v>
      </c>
      <c r="G49" s="2">
        <f t="shared" si="2"/>
        <v>0.12000000000000005</v>
      </c>
    </row>
    <row r="50" spans="1:7" x14ac:dyDescent="0.3">
      <c r="A50" s="2">
        <v>8.0996722115378361</v>
      </c>
      <c r="B50" s="2">
        <v>8.7195565154252108</v>
      </c>
      <c r="C50" s="2">
        <v>9.8053669969522161</v>
      </c>
      <c r="D50" s="2">
        <v>2</v>
      </c>
      <c r="E50" s="2">
        <f t="shared" si="0"/>
        <v>0.54</v>
      </c>
      <c r="F50" s="2">
        <f t="shared" si="1"/>
        <v>0.44</v>
      </c>
      <c r="G50" s="2">
        <f t="shared" si="2"/>
        <v>0.10000000000000003</v>
      </c>
    </row>
    <row r="51" spans="1:7" x14ac:dyDescent="0.3">
      <c r="A51" s="2">
        <v>10.27566557037062</v>
      </c>
      <c r="B51" s="2">
        <v>14.920711944578215</v>
      </c>
      <c r="C51" s="2">
        <v>9.8274404333642451</v>
      </c>
      <c r="D51" s="2">
        <v>2</v>
      </c>
      <c r="E51" s="2">
        <f t="shared" si="0"/>
        <v>0.54</v>
      </c>
      <c r="F51" s="2">
        <f t="shared" si="1"/>
        <v>0.46</v>
      </c>
      <c r="G51" s="2">
        <f t="shared" si="2"/>
        <v>8.0000000000000016E-2</v>
      </c>
    </row>
    <row r="52" spans="1:7" x14ac:dyDescent="0.3">
      <c r="C52" s="2">
        <v>9.9725753241364146</v>
      </c>
      <c r="D52" s="2">
        <v>1</v>
      </c>
      <c r="E52" s="2">
        <f t="shared" si="0"/>
        <v>0.56000000000000005</v>
      </c>
      <c r="F52" s="2">
        <f t="shared" si="1"/>
        <v>0.46</v>
      </c>
      <c r="G52" s="2">
        <f t="shared" si="2"/>
        <v>0.10000000000000003</v>
      </c>
    </row>
    <row r="53" spans="1:7" x14ac:dyDescent="0.3">
      <c r="C53" s="2">
        <v>10.139237954499549</v>
      </c>
      <c r="D53" s="2">
        <v>1</v>
      </c>
      <c r="E53" s="2">
        <f t="shared" si="0"/>
        <v>0.57999999999999996</v>
      </c>
      <c r="F53" s="2">
        <f t="shared" si="1"/>
        <v>0.46</v>
      </c>
      <c r="G53" s="2">
        <f t="shared" si="2"/>
        <v>0.11999999999999994</v>
      </c>
    </row>
    <row r="54" spans="1:7" x14ac:dyDescent="0.3">
      <c r="C54" s="2">
        <v>10.170492739925976</v>
      </c>
      <c r="D54" s="2">
        <v>2</v>
      </c>
      <c r="E54" s="2">
        <f t="shared" si="0"/>
        <v>0.57999999999999996</v>
      </c>
      <c r="F54" s="2">
        <f t="shared" si="1"/>
        <v>0.48</v>
      </c>
      <c r="G54" s="2">
        <f t="shared" si="2"/>
        <v>9.9999999999999978E-2</v>
      </c>
    </row>
    <row r="55" spans="1:7" x14ac:dyDescent="0.3">
      <c r="C55" s="2">
        <v>10.176468120116624</v>
      </c>
      <c r="D55" s="2">
        <v>2</v>
      </c>
      <c r="E55" s="2">
        <f t="shared" si="0"/>
        <v>0.57999999999999996</v>
      </c>
      <c r="F55" s="2">
        <f t="shared" si="1"/>
        <v>0.5</v>
      </c>
      <c r="G55" s="2">
        <f t="shared" si="2"/>
        <v>7.999999999999996E-2</v>
      </c>
    </row>
    <row r="56" spans="1:7" x14ac:dyDescent="0.3">
      <c r="C56" s="2">
        <v>10.192794686881825</v>
      </c>
      <c r="D56" s="2">
        <v>2</v>
      </c>
      <c r="E56" s="2">
        <f t="shared" si="0"/>
        <v>0.57999999999999996</v>
      </c>
      <c r="F56" s="2">
        <f t="shared" si="1"/>
        <v>0.52</v>
      </c>
      <c r="G56" s="2">
        <f t="shared" si="2"/>
        <v>5.9999999999999942E-2</v>
      </c>
    </row>
    <row r="57" spans="1:7" x14ac:dyDescent="0.3">
      <c r="C57" s="2">
        <v>10.273363411906757</v>
      </c>
      <c r="D57" s="2">
        <v>2</v>
      </c>
      <c r="E57" s="2">
        <f t="shared" si="0"/>
        <v>0.57999999999999996</v>
      </c>
      <c r="F57" s="2">
        <f t="shared" si="1"/>
        <v>0.54</v>
      </c>
      <c r="G57" s="2">
        <f t="shared" si="2"/>
        <v>3.9999999999999925E-2</v>
      </c>
    </row>
    <row r="58" spans="1:7" x14ac:dyDescent="0.3">
      <c r="C58" s="2">
        <v>10.27566557037062</v>
      </c>
      <c r="D58" s="2">
        <v>1</v>
      </c>
      <c r="E58" s="2">
        <f t="shared" si="0"/>
        <v>0.6</v>
      </c>
      <c r="F58" s="2">
        <f t="shared" si="1"/>
        <v>0.54</v>
      </c>
      <c r="G58" s="2">
        <f t="shared" si="2"/>
        <v>5.9999999999999942E-2</v>
      </c>
    </row>
    <row r="59" spans="1:7" x14ac:dyDescent="0.3">
      <c r="C59" s="2">
        <v>10.515096871822607</v>
      </c>
      <c r="D59" s="2">
        <v>1</v>
      </c>
      <c r="E59" s="2">
        <f t="shared" si="0"/>
        <v>0.62</v>
      </c>
      <c r="F59" s="2">
        <f t="shared" si="1"/>
        <v>0.54</v>
      </c>
      <c r="G59" s="2">
        <f t="shared" si="2"/>
        <v>7.999999999999996E-2</v>
      </c>
    </row>
    <row r="60" spans="1:7" x14ac:dyDescent="0.3">
      <c r="C60" s="2">
        <v>10.556372015125817</v>
      </c>
      <c r="D60" s="2">
        <v>2</v>
      </c>
      <c r="E60" s="2">
        <f t="shared" si="0"/>
        <v>0.62</v>
      </c>
      <c r="F60" s="2">
        <f t="shared" si="1"/>
        <v>0.56000000000000005</v>
      </c>
      <c r="G60" s="2">
        <f t="shared" si="2"/>
        <v>5.9999999999999942E-2</v>
      </c>
    </row>
    <row r="61" spans="1:7" x14ac:dyDescent="0.3">
      <c r="C61" s="2">
        <v>10.712454948370578</v>
      </c>
      <c r="D61" s="2">
        <v>2</v>
      </c>
      <c r="E61" s="2">
        <f t="shared" si="0"/>
        <v>0.62</v>
      </c>
      <c r="F61" s="2">
        <f t="shared" si="1"/>
        <v>0.57999999999999996</v>
      </c>
      <c r="G61" s="2">
        <f t="shared" si="2"/>
        <v>4.0000000000000036E-2</v>
      </c>
    </row>
    <row r="62" spans="1:7" x14ac:dyDescent="0.3">
      <c r="C62" s="2">
        <v>10.774933823777246</v>
      </c>
      <c r="D62" s="2">
        <v>2</v>
      </c>
      <c r="E62" s="2">
        <f t="shared" si="0"/>
        <v>0.62</v>
      </c>
      <c r="F62" s="2">
        <f t="shared" si="1"/>
        <v>0.6</v>
      </c>
      <c r="G62" s="2">
        <f t="shared" si="2"/>
        <v>2.0000000000000018E-2</v>
      </c>
    </row>
    <row r="63" spans="1:7" x14ac:dyDescent="0.3">
      <c r="C63" s="2">
        <v>11.028791984936106</v>
      </c>
      <c r="D63" s="2">
        <v>1</v>
      </c>
      <c r="E63" s="2">
        <f t="shared" si="0"/>
        <v>0.64</v>
      </c>
      <c r="F63" s="2">
        <f t="shared" si="1"/>
        <v>0.6</v>
      </c>
      <c r="G63" s="2">
        <f t="shared" si="2"/>
        <v>4.0000000000000036E-2</v>
      </c>
    </row>
    <row r="64" spans="1:7" x14ac:dyDescent="0.3">
      <c r="C64" s="2">
        <v>11.068801793735474</v>
      </c>
      <c r="D64" s="2">
        <v>2</v>
      </c>
      <c r="E64" s="2">
        <f t="shared" si="0"/>
        <v>0.64</v>
      </c>
      <c r="F64" s="2">
        <f t="shared" si="1"/>
        <v>0.6</v>
      </c>
      <c r="G64" s="2">
        <f t="shared" si="2"/>
        <v>4.0000000000000036E-2</v>
      </c>
    </row>
    <row r="65" spans="3:7" x14ac:dyDescent="0.3">
      <c r="C65" s="2">
        <v>11.101877842302201</v>
      </c>
      <c r="D65" s="2">
        <v>1</v>
      </c>
      <c r="E65" s="2">
        <f t="shared" si="0"/>
        <v>0.66</v>
      </c>
      <c r="F65" s="2">
        <f t="shared" si="1"/>
        <v>0.62</v>
      </c>
      <c r="G65" s="2">
        <f t="shared" si="2"/>
        <v>4.0000000000000036E-2</v>
      </c>
    </row>
    <row r="66" spans="3:7" x14ac:dyDescent="0.3">
      <c r="C66" s="2">
        <v>11.150635853264248</v>
      </c>
      <c r="D66" s="2">
        <v>1</v>
      </c>
      <c r="E66" s="2">
        <f t="shared" si="0"/>
        <v>0.68</v>
      </c>
      <c r="F66" s="2">
        <f t="shared" si="1"/>
        <v>0.62</v>
      </c>
      <c r="G66" s="2">
        <f t="shared" si="2"/>
        <v>6.0000000000000053E-2</v>
      </c>
    </row>
    <row r="67" spans="3:7" x14ac:dyDescent="0.3">
      <c r="C67" s="2">
        <v>11.185792370961281</v>
      </c>
      <c r="D67" s="2">
        <v>2</v>
      </c>
      <c r="E67" s="2">
        <f t="shared" ref="E67:E101" si="3">COUNTIF(A:A,"&lt;="&amp;C67)/COUNT(A:A)</f>
        <v>0.68</v>
      </c>
      <c r="F67" s="2">
        <f t="shared" ref="F67:F101" si="4">COUNTIF(B:B,"&lt;="&amp;C67)/COUNT(B:B)</f>
        <v>0.64</v>
      </c>
      <c r="G67" s="2">
        <f t="shared" ref="G67:G101" si="5">ABS(E67 - F67)</f>
        <v>4.0000000000000036E-2</v>
      </c>
    </row>
    <row r="68" spans="3:7" x14ac:dyDescent="0.3">
      <c r="C68" s="2">
        <v>11.19348669613828</v>
      </c>
      <c r="D68" s="2">
        <v>1</v>
      </c>
      <c r="E68" s="2">
        <f t="shared" si="3"/>
        <v>0.7</v>
      </c>
      <c r="F68" s="2">
        <f t="shared" si="4"/>
        <v>0.64</v>
      </c>
      <c r="G68" s="2">
        <f t="shared" si="5"/>
        <v>5.9999999999999942E-2</v>
      </c>
    </row>
    <row r="69" spans="3:7" x14ac:dyDescent="0.3">
      <c r="C69" s="2">
        <v>11.433490979252383</v>
      </c>
      <c r="D69" s="2">
        <v>2</v>
      </c>
      <c r="E69" s="2">
        <f t="shared" si="3"/>
        <v>0.7</v>
      </c>
      <c r="F69" s="2">
        <f t="shared" si="4"/>
        <v>0.64</v>
      </c>
      <c r="G69" s="2">
        <f t="shared" si="5"/>
        <v>5.9999999999999942E-2</v>
      </c>
    </row>
    <row r="70" spans="3:7" x14ac:dyDescent="0.3">
      <c r="C70" s="2">
        <v>11.507507931819418</v>
      </c>
      <c r="D70" s="2">
        <v>2</v>
      </c>
      <c r="E70" s="2">
        <f t="shared" si="3"/>
        <v>0.7</v>
      </c>
      <c r="F70" s="2">
        <f t="shared" si="4"/>
        <v>0.68</v>
      </c>
      <c r="G70" s="2">
        <f t="shared" si="5"/>
        <v>1.9999999999999907E-2</v>
      </c>
    </row>
    <row r="71" spans="3:7" x14ac:dyDescent="0.3">
      <c r="C71" s="2">
        <v>11.647711087571224</v>
      </c>
      <c r="D71" s="2">
        <v>2</v>
      </c>
      <c r="E71" s="2">
        <f t="shared" si="3"/>
        <v>0.7</v>
      </c>
      <c r="F71" s="2">
        <f t="shared" si="4"/>
        <v>0.7</v>
      </c>
      <c r="G71" s="2">
        <f t="shared" si="5"/>
        <v>0</v>
      </c>
    </row>
    <row r="72" spans="3:7" x14ac:dyDescent="0.3">
      <c r="C72" s="2">
        <v>11.80672032001894</v>
      </c>
      <c r="D72" s="2">
        <v>2</v>
      </c>
      <c r="E72" s="2">
        <f t="shared" si="3"/>
        <v>0.7</v>
      </c>
      <c r="F72" s="2">
        <f t="shared" si="4"/>
        <v>0.72</v>
      </c>
      <c r="G72" s="2">
        <f t="shared" si="5"/>
        <v>2.0000000000000018E-2</v>
      </c>
    </row>
    <row r="73" spans="3:7" x14ac:dyDescent="0.3">
      <c r="C73" s="2">
        <v>12.104817440340412</v>
      </c>
      <c r="D73" s="2">
        <v>1</v>
      </c>
      <c r="E73" s="2">
        <f t="shared" si="3"/>
        <v>0.72</v>
      </c>
      <c r="F73" s="2">
        <f t="shared" si="4"/>
        <v>0.72</v>
      </c>
      <c r="G73" s="2">
        <f t="shared" si="5"/>
        <v>0</v>
      </c>
    </row>
    <row r="74" spans="3:7" x14ac:dyDescent="0.3">
      <c r="C74" s="2">
        <v>12.107460659317439</v>
      </c>
      <c r="D74" s="2">
        <v>2</v>
      </c>
      <c r="E74" s="2">
        <f t="shared" si="3"/>
        <v>0.72</v>
      </c>
      <c r="F74" s="2">
        <f t="shared" si="4"/>
        <v>0.74</v>
      </c>
      <c r="G74" s="2">
        <f t="shared" si="5"/>
        <v>2.0000000000000018E-2</v>
      </c>
    </row>
    <row r="75" spans="3:7" x14ac:dyDescent="0.3">
      <c r="C75" s="2">
        <v>12.170488642150303</v>
      </c>
      <c r="D75" s="2">
        <v>2</v>
      </c>
      <c r="E75" s="2">
        <f t="shared" si="3"/>
        <v>0.72</v>
      </c>
      <c r="F75" s="2">
        <f t="shared" si="4"/>
        <v>0.76</v>
      </c>
      <c r="G75" s="2">
        <f t="shared" si="5"/>
        <v>4.0000000000000036E-2</v>
      </c>
    </row>
    <row r="76" spans="3:7" x14ac:dyDescent="0.3">
      <c r="C76" s="2">
        <v>12.334473947485094</v>
      </c>
      <c r="D76" s="2">
        <v>1</v>
      </c>
      <c r="E76" s="2">
        <f t="shared" si="3"/>
        <v>0.74</v>
      </c>
      <c r="F76" s="2">
        <f t="shared" si="4"/>
        <v>0.76</v>
      </c>
      <c r="G76" s="2">
        <f t="shared" si="5"/>
        <v>2.0000000000000018E-2</v>
      </c>
    </row>
    <row r="77" spans="3:7" x14ac:dyDescent="0.3">
      <c r="C77" s="2">
        <v>12.361908855164074</v>
      </c>
      <c r="D77" s="2">
        <v>1</v>
      </c>
      <c r="E77" s="2">
        <f t="shared" si="3"/>
        <v>0.76</v>
      </c>
      <c r="F77" s="2">
        <f t="shared" si="4"/>
        <v>0.76</v>
      </c>
      <c r="G77" s="2">
        <f t="shared" si="5"/>
        <v>0</v>
      </c>
    </row>
    <row r="78" spans="3:7" x14ac:dyDescent="0.3">
      <c r="C78" s="2">
        <v>12.468214006512426</v>
      </c>
      <c r="D78" s="2">
        <v>1</v>
      </c>
      <c r="E78" s="2">
        <f t="shared" si="3"/>
        <v>0.78</v>
      </c>
      <c r="F78" s="2">
        <f t="shared" si="4"/>
        <v>0.76</v>
      </c>
      <c r="G78" s="2">
        <f t="shared" si="5"/>
        <v>2.0000000000000018E-2</v>
      </c>
    </row>
    <row r="79" spans="3:7" x14ac:dyDescent="0.3">
      <c r="C79" s="2">
        <v>12.48369815381011</v>
      </c>
      <c r="D79" s="2">
        <v>2</v>
      </c>
      <c r="E79" s="2">
        <f t="shared" si="3"/>
        <v>0.78</v>
      </c>
      <c r="F79" s="2">
        <f t="shared" si="4"/>
        <v>0.78</v>
      </c>
      <c r="G79" s="2">
        <f t="shared" si="5"/>
        <v>0</v>
      </c>
    </row>
    <row r="80" spans="3:7" x14ac:dyDescent="0.3">
      <c r="C80" s="2">
        <v>12.53055986831896</v>
      </c>
      <c r="D80" s="2">
        <v>1</v>
      </c>
      <c r="E80" s="2">
        <f t="shared" si="3"/>
        <v>0.78</v>
      </c>
      <c r="F80" s="2">
        <f t="shared" si="4"/>
        <v>0.78</v>
      </c>
      <c r="G80" s="2">
        <f t="shared" si="5"/>
        <v>0</v>
      </c>
    </row>
    <row r="81" spans="3:7" x14ac:dyDescent="0.3">
      <c r="C81" s="2">
        <v>12.594017587398412</v>
      </c>
      <c r="D81" s="2">
        <v>2</v>
      </c>
      <c r="E81" s="2">
        <f t="shared" si="3"/>
        <v>0.8</v>
      </c>
      <c r="F81" s="2">
        <f t="shared" si="4"/>
        <v>0.8</v>
      </c>
      <c r="G81" s="2">
        <f t="shared" si="5"/>
        <v>0</v>
      </c>
    </row>
    <row r="82" spans="3:7" x14ac:dyDescent="0.3">
      <c r="C82" s="2">
        <v>12.834178758348571</v>
      </c>
      <c r="D82" s="2">
        <v>1</v>
      </c>
      <c r="E82" s="2">
        <f t="shared" si="3"/>
        <v>0.82</v>
      </c>
      <c r="F82" s="2">
        <f t="shared" si="4"/>
        <v>0.8</v>
      </c>
      <c r="G82" s="2">
        <f t="shared" si="5"/>
        <v>1.9999999999999907E-2</v>
      </c>
    </row>
    <row r="83" spans="3:7" x14ac:dyDescent="0.3">
      <c r="C83" s="2">
        <v>12.84567931885249</v>
      </c>
      <c r="D83" s="2">
        <v>1</v>
      </c>
      <c r="E83" s="2">
        <f t="shared" si="3"/>
        <v>0.84</v>
      </c>
      <c r="F83" s="2">
        <f t="shared" si="4"/>
        <v>0.8</v>
      </c>
      <c r="G83" s="2">
        <f t="shared" si="5"/>
        <v>3.9999999999999925E-2</v>
      </c>
    </row>
    <row r="84" spans="3:7" x14ac:dyDescent="0.3">
      <c r="C84" s="2">
        <v>13.36394805344753</v>
      </c>
      <c r="D84" s="2">
        <v>1</v>
      </c>
      <c r="E84" s="2">
        <f t="shared" si="3"/>
        <v>0.86</v>
      </c>
      <c r="F84" s="2">
        <f t="shared" si="4"/>
        <v>0.8</v>
      </c>
      <c r="G84" s="2">
        <f t="shared" si="5"/>
        <v>5.9999999999999942E-2</v>
      </c>
    </row>
    <row r="85" spans="3:7" x14ac:dyDescent="0.3">
      <c r="C85" s="2">
        <v>13.531852144078584</v>
      </c>
      <c r="D85" s="2">
        <v>1</v>
      </c>
      <c r="E85" s="2">
        <f t="shared" si="3"/>
        <v>0.88</v>
      </c>
      <c r="F85" s="2">
        <f t="shared" si="4"/>
        <v>0.8</v>
      </c>
      <c r="G85" s="2">
        <f t="shared" si="5"/>
        <v>7.999999999999996E-2</v>
      </c>
    </row>
    <row r="86" spans="3:7" x14ac:dyDescent="0.3">
      <c r="C86" s="2">
        <v>13.631544132076669</v>
      </c>
      <c r="D86" s="2">
        <v>2</v>
      </c>
      <c r="E86" s="2">
        <f t="shared" si="3"/>
        <v>0.88</v>
      </c>
      <c r="F86" s="2">
        <f t="shared" si="4"/>
        <v>0.82</v>
      </c>
      <c r="G86" s="2">
        <f t="shared" si="5"/>
        <v>6.0000000000000053E-2</v>
      </c>
    </row>
    <row r="87" spans="3:7" x14ac:dyDescent="0.3">
      <c r="C87" s="2">
        <v>13.718541847774759</v>
      </c>
      <c r="D87" s="2">
        <v>2</v>
      </c>
      <c r="E87" s="2">
        <f t="shared" si="3"/>
        <v>0.88</v>
      </c>
      <c r="F87" s="2">
        <f t="shared" si="4"/>
        <v>0.82</v>
      </c>
      <c r="G87" s="2">
        <f t="shared" si="5"/>
        <v>6.0000000000000053E-2</v>
      </c>
    </row>
    <row r="88" spans="3:7" x14ac:dyDescent="0.3">
      <c r="C88" s="2">
        <v>13.727463990799151</v>
      </c>
      <c r="D88" s="2">
        <v>2</v>
      </c>
      <c r="E88" s="2">
        <f t="shared" si="3"/>
        <v>0.88</v>
      </c>
      <c r="F88" s="2">
        <f t="shared" si="4"/>
        <v>0.86</v>
      </c>
      <c r="G88" s="2">
        <f t="shared" si="5"/>
        <v>2.0000000000000018E-2</v>
      </c>
    </row>
    <row r="89" spans="3:7" x14ac:dyDescent="0.3">
      <c r="C89" s="2">
        <v>13.784748514590319</v>
      </c>
      <c r="D89" s="2">
        <v>2</v>
      </c>
      <c r="E89" s="2">
        <f t="shared" si="3"/>
        <v>0.88</v>
      </c>
      <c r="F89" s="2">
        <f t="shared" si="4"/>
        <v>0.88</v>
      </c>
      <c r="G89" s="2">
        <f t="shared" si="5"/>
        <v>0</v>
      </c>
    </row>
    <row r="90" spans="3:7" x14ac:dyDescent="0.3">
      <c r="C90" s="2">
        <v>13.808779638347914</v>
      </c>
      <c r="D90" s="2">
        <v>1</v>
      </c>
      <c r="E90" s="2">
        <f t="shared" si="3"/>
        <v>0.9</v>
      </c>
      <c r="F90" s="2">
        <f t="shared" si="4"/>
        <v>0.88</v>
      </c>
      <c r="G90" s="2">
        <f t="shared" si="5"/>
        <v>2.0000000000000018E-2</v>
      </c>
    </row>
    <row r="91" spans="3:7" x14ac:dyDescent="0.3">
      <c r="C91" s="2">
        <v>14.016089860670036</v>
      </c>
      <c r="D91" s="2">
        <v>1</v>
      </c>
      <c r="E91" s="2">
        <f t="shared" si="3"/>
        <v>0.92</v>
      </c>
      <c r="F91" s="2">
        <f t="shared" si="4"/>
        <v>0.88</v>
      </c>
      <c r="G91" s="2">
        <f t="shared" si="5"/>
        <v>4.0000000000000036E-2</v>
      </c>
    </row>
    <row r="92" spans="3:7" x14ac:dyDescent="0.3">
      <c r="C92" s="2">
        <v>14.027924660476856</v>
      </c>
      <c r="D92" s="2">
        <v>1</v>
      </c>
      <c r="E92" s="2">
        <f t="shared" si="3"/>
        <v>0.94</v>
      </c>
      <c r="F92" s="2">
        <f t="shared" si="4"/>
        <v>0.88</v>
      </c>
      <c r="G92" s="2">
        <f t="shared" si="5"/>
        <v>5.9999999999999942E-2</v>
      </c>
    </row>
    <row r="93" spans="3:7" x14ac:dyDescent="0.3">
      <c r="C93" s="2">
        <v>14.0347185858991</v>
      </c>
      <c r="D93" s="2">
        <v>1</v>
      </c>
      <c r="E93" s="2">
        <f t="shared" si="3"/>
        <v>0.94</v>
      </c>
      <c r="F93" s="2">
        <f t="shared" si="4"/>
        <v>0.88</v>
      </c>
      <c r="G93" s="2">
        <f t="shared" si="5"/>
        <v>5.9999999999999942E-2</v>
      </c>
    </row>
    <row r="94" spans="3:7" x14ac:dyDescent="0.3">
      <c r="C94" s="2">
        <v>14.343010004959069</v>
      </c>
      <c r="D94" s="2">
        <v>2</v>
      </c>
      <c r="E94" s="2">
        <f t="shared" si="3"/>
        <v>0.96</v>
      </c>
      <c r="F94" s="2">
        <f t="shared" si="4"/>
        <v>0.9</v>
      </c>
      <c r="G94" s="2">
        <f t="shared" si="5"/>
        <v>5.9999999999999942E-2</v>
      </c>
    </row>
    <row r="95" spans="3:7" x14ac:dyDescent="0.3">
      <c r="C95" s="2">
        <v>14.654370968637522</v>
      </c>
      <c r="D95" s="2">
        <v>1</v>
      </c>
      <c r="E95" s="2">
        <f t="shared" si="3"/>
        <v>0.98</v>
      </c>
      <c r="F95" s="2">
        <f t="shared" si="4"/>
        <v>0.9</v>
      </c>
      <c r="G95" s="2">
        <f t="shared" si="5"/>
        <v>7.999999999999996E-2</v>
      </c>
    </row>
    <row r="96" spans="3:7" x14ac:dyDescent="0.3">
      <c r="C96" s="2">
        <v>14.920711944578215</v>
      </c>
      <c r="D96" s="2">
        <v>2</v>
      </c>
      <c r="E96" s="2">
        <f t="shared" si="3"/>
        <v>0.98</v>
      </c>
      <c r="F96" s="2">
        <f t="shared" si="4"/>
        <v>0.92</v>
      </c>
      <c r="G96" s="2">
        <f t="shared" si="5"/>
        <v>5.9999999999999942E-2</v>
      </c>
    </row>
    <row r="97" spans="3:7" x14ac:dyDescent="0.3">
      <c r="C97" s="2">
        <v>15.563624654314481</v>
      </c>
      <c r="D97" s="2">
        <v>2</v>
      </c>
      <c r="E97" s="2">
        <f t="shared" si="3"/>
        <v>0.98</v>
      </c>
      <c r="F97" s="2">
        <f t="shared" si="4"/>
        <v>0.94</v>
      </c>
      <c r="G97" s="2">
        <f t="shared" si="5"/>
        <v>4.0000000000000036E-2</v>
      </c>
    </row>
    <row r="98" spans="3:7" x14ac:dyDescent="0.3">
      <c r="C98" s="2">
        <v>15.666788638336584</v>
      </c>
      <c r="D98" s="2">
        <v>2</v>
      </c>
      <c r="E98" s="2">
        <f t="shared" si="3"/>
        <v>0.98</v>
      </c>
      <c r="F98" s="2">
        <f t="shared" si="4"/>
        <v>0.94</v>
      </c>
      <c r="G98" s="2">
        <f t="shared" si="5"/>
        <v>4.0000000000000036E-2</v>
      </c>
    </row>
    <row r="99" spans="3:7" x14ac:dyDescent="0.3">
      <c r="C99" s="2">
        <v>16.130085239419714</v>
      </c>
      <c r="D99" s="2">
        <v>2</v>
      </c>
      <c r="E99" s="2">
        <f t="shared" si="3"/>
        <v>0.98</v>
      </c>
      <c r="F99" s="2">
        <f t="shared" si="4"/>
        <v>0.98</v>
      </c>
      <c r="G99" s="2">
        <f t="shared" si="5"/>
        <v>0</v>
      </c>
    </row>
    <row r="100" spans="3:7" x14ac:dyDescent="0.3">
      <c r="C100" s="2">
        <v>16.290383680607192</v>
      </c>
      <c r="D100" s="2">
        <v>2</v>
      </c>
      <c r="E100" s="2">
        <f t="shared" si="3"/>
        <v>0.98</v>
      </c>
      <c r="F100" s="2">
        <f t="shared" si="4"/>
        <v>1</v>
      </c>
      <c r="G100" s="2">
        <f t="shared" si="5"/>
        <v>2.0000000000000018E-2</v>
      </c>
    </row>
    <row r="101" spans="3:7" x14ac:dyDescent="0.3">
      <c r="C101" s="2">
        <v>21.525116860866547</v>
      </c>
      <c r="D101" s="2">
        <v>1</v>
      </c>
      <c r="E101" s="2">
        <f t="shared" si="3"/>
        <v>1</v>
      </c>
      <c r="F101" s="2">
        <f t="shared" si="4"/>
        <v>1</v>
      </c>
      <c r="G101" s="2">
        <f t="shared" si="5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2025-04-27T18:30:16Z</dcterms:created>
  <dcterms:modified xsi:type="dcterms:W3CDTF">2025-04-28T18:18:20Z</dcterms:modified>
</cp:coreProperties>
</file>