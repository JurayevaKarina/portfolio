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karina\Desktop\Курсовая2025\"/>
    </mc:Choice>
  </mc:AlternateContent>
  <bookViews>
    <workbookView xWindow="0" yWindow="0" windowWidth="23040" windowHeight="9072" activeTab="1"/>
  </bookViews>
  <sheets>
    <sheet name="Initial Data" sheetId="1" r:id="rId1"/>
    <sheet name="Data" sheetId="2" r:id="rId2"/>
    <sheet name="Bank" sheetId="3" r:id="rId3"/>
    <sheet name="CAT_Result" sheetId="7" r:id="rId4"/>
    <sheet name="CAT_Log" sheetId="10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5" i="1" l="1"/>
  <c r="D25" i="1"/>
  <c r="E25" i="1"/>
  <c r="F25" i="1"/>
  <c r="G25" i="1"/>
  <c r="H25" i="1"/>
  <c r="I25" i="1"/>
  <c r="J25" i="1"/>
  <c r="B25" i="1"/>
  <c r="C24" i="1"/>
  <c r="D24" i="1"/>
  <c r="E24" i="1"/>
  <c r="F24" i="1"/>
  <c r="G24" i="1"/>
  <c r="H24" i="1"/>
  <c r="I24" i="1"/>
  <c r="J24" i="1"/>
  <c r="B24" i="1"/>
</calcChain>
</file>

<file path=xl/sharedStrings.xml><?xml version="1.0" encoding="utf-8"?>
<sst xmlns="http://schemas.openxmlformats.org/spreadsheetml/2006/main" count="510" uniqueCount="95">
  <si>
    <t>Задание 1</t>
  </si>
  <si>
    <t>Задание 2</t>
  </si>
  <si>
    <t>Задание 3</t>
  </si>
  <si>
    <t>Задание 4</t>
  </si>
  <si>
    <t>Задание 5</t>
  </si>
  <si>
    <t>Задание 6</t>
  </si>
  <si>
    <t>Задание 7</t>
  </si>
  <si>
    <t>Задание 8</t>
  </si>
  <si>
    <t>Задание 9</t>
  </si>
  <si>
    <t>Студент 1</t>
  </si>
  <si>
    <t>Студент 2</t>
  </si>
  <si>
    <t>Студент 3</t>
  </si>
  <si>
    <t>Студент 4</t>
  </si>
  <si>
    <t>Студент 5</t>
  </si>
  <si>
    <t>Студент 6</t>
  </si>
  <si>
    <t>Студент 7</t>
  </si>
  <si>
    <t>Студент 8</t>
  </si>
  <si>
    <t>Студент 9</t>
  </si>
  <si>
    <t>Студент 10</t>
  </si>
  <si>
    <t>Студент 11</t>
  </si>
  <si>
    <t>Студент 12</t>
  </si>
  <si>
    <t>Студент 13</t>
  </si>
  <si>
    <t>Студент 14</t>
  </si>
  <si>
    <t>Студент 15</t>
  </si>
  <si>
    <t>Студент 16</t>
  </si>
  <si>
    <t>Студент 17</t>
  </si>
  <si>
    <t>Студент 18</t>
  </si>
  <si>
    <t>Студент 19</t>
  </si>
  <si>
    <t>Студент 20</t>
  </si>
  <si>
    <t>Студент 21</t>
  </si>
  <si>
    <t>a_j</t>
  </si>
  <si>
    <t>p_j</t>
  </si>
  <si>
    <t>b_j</t>
  </si>
  <si>
    <t>Item</t>
  </si>
  <si>
    <t>SE</t>
  </si>
  <si>
    <t>Student</t>
  </si>
  <si>
    <t>Step</t>
  </si>
  <si>
    <t>ItemIndex</t>
  </si>
  <si>
    <t>Response</t>
  </si>
  <si>
    <t>Info</t>
  </si>
  <si>
    <t>Lprime</t>
  </si>
  <si>
    <t>Ldoubleprime</t>
  </si>
  <si>
    <t>Theta_before</t>
  </si>
  <si>
    <t>Theta_after</t>
  </si>
  <si>
    <t>DeltaTheta</t>
  </si>
  <si>
    <t>ItemsUsed</t>
  </si>
  <si>
    <t>Theta</t>
  </si>
  <si>
    <t>Steps</t>
  </si>
  <si>
    <t>Correct</t>
  </si>
  <si>
    <t>Items</t>
  </si>
  <si>
    <t>Theta0</t>
  </si>
  <si>
    <t>Converged</t>
  </si>
  <si>
    <t>7,3</t>
  </si>
  <si>
    <t>7,3,1</t>
  </si>
  <si>
    <t>7,3,1,2</t>
  </si>
  <si>
    <t>7,3,1,2,5</t>
  </si>
  <si>
    <t>7,3,1,2,5,9</t>
  </si>
  <si>
    <t>7,3,1,2,5,9,6</t>
  </si>
  <si>
    <t>7,3,1,2,5,9,6,8</t>
  </si>
  <si>
    <t>7,3,1,2,5,9,6,8,4</t>
  </si>
  <si>
    <t>Yes</t>
  </si>
  <si>
    <t>7,8</t>
  </si>
  <si>
    <t>7,8,1</t>
  </si>
  <si>
    <t>7,8,1,3</t>
  </si>
  <si>
    <t>7,8,1,3,9</t>
  </si>
  <si>
    <t>7,8,1,3,9,5</t>
  </si>
  <si>
    <t>7,8,1,3,9,5,6</t>
  </si>
  <si>
    <t>7,8,1,3,9,5,6,2</t>
  </si>
  <si>
    <t>7,8,1,3,9,5,6,2,4</t>
  </si>
  <si>
    <t>7,8,1,9</t>
  </si>
  <si>
    <t>7,8,1,9,3</t>
  </si>
  <si>
    <t>7,8,1,9,3,5</t>
  </si>
  <si>
    <t>7,8,1,9,3,5,6</t>
  </si>
  <si>
    <t>7,8,1,9,3,5,6,2</t>
  </si>
  <si>
    <t>7,8,1,9,3,5,6,2,4</t>
  </si>
  <si>
    <t>7,3,1,8</t>
  </si>
  <si>
    <t>7,3,1,8,9</t>
  </si>
  <si>
    <t>7,3,1,8,9,5</t>
  </si>
  <si>
    <t>7,3,1,8,9,5,6</t>
  </si>
  <si>
    <t>7,3,1,8,9,5,6,2</t>
  </si>
  <si>
    <t>7,3,1,8,9,5,6,2,4</t>
  </si>
  <si>
    <t>7,3,1,2,5,9,6,4</t>
  </si>
  <si>
    <t>7,3,1,2,5,9,6,4,8</t>
  </si>
  <si>
    <t>7,3,1,2,5,6</t>
  </si>
  <si>
    <t>7,3,1,2,5,6,9</t>
  </si>
  <si>
    <t>7,3,1,2,5,6,9,4</t>
  </si>
  <si>
    <t>7,3,1,2,5,6,9,4,8</t>
  </si>
  <si>
    <t>No</t>
  </si>
  <si>
    <t>7,3,1,9</t>
  </si>
  <si>
    <t>7,3,1,9,8</t>
  </si>
  <si>
    <t>7,3,1,9,8,5</t>
  </si>
  <si>
    <t>7,3,1,9,8,5,6</t>
  </si>
  <si>
    <t>7,3,1,9,8,5,6,2</t>
  </si>
  <si>
    <t>7,3,1,9,8,5,6,2,4</t>
  </si>
  <si>
    <t>P_theta_before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</si>
</sst>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rgb="FF4F6228"/>
      <name val="Calibri"/>
      <family val="2"/>
      <charset val="204"/>
      <scheme val="minor"/>
    </font>
    <font>
      <b/>
      <sz val="12"/>
      <color rgb="FF1F497D"/>
      <name val="Calibri"/>
      <family val="2"/>
      <charset val="204"/>
      <scheme val="minor"/>
    </font>
    <font>
      <sz val="10"/>
      <color rgb="FF0070C0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1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0" fontId="2" fillId="0" borderId="0" xfId="0" applyFont="1"/>
    <xf numFmtId="0" fontId="5" fillId="0" borderId="0" xfId="0" applyFont="1"/>
    <xf numFmtId="0" fontId="6" fillId="0" borderId="0" xfId="0" applyFont="1"/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M26"/>
  <sheetViews>
    <sheetView workbookViewId="0">
      <selection activeCell="B25" sqref="B25"/>
    </sheetView>
  </sheetViews>
  <sheetFormatPr defaultRowHeight="14.4" x14ac:dyDescent="0.3"/>
  <cols>
    <col min="1" max="1" width="10.44140625" customWidth="1"/>
    <col min="2" max="3" width="9.5546875" customWidth="1"/>
    <col min="4" max="4" width="9.88671875" customWidth="1"/>
    <col min="5" max="5" width="9.44140625" customWidth="1"/>
    <col min="6" max="6" width="9.21875" customWidth="1"/>
    <col min="7" max="7" width="9.88671875" customWidth="1"/>
    <col min="8" max="8" width="9.44140625" customWidth="1"/>
    <col min="9" max="9" width="10.109375" customWidth="1"/>
    <col min="10" max="10" width="9.33203125" customWidth="1"/>
    <col min="13" max="13" width="20.77734375" customWidth="1"/>
  </cols>
  <sheetData>
    <row r="1" spans="1:13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</row>
    <row r="2" spans="1:13" ht="15.6" x14ac:dyDescent="0.3">
      <c r="A2" t="s">
        <v>9</v>
      </c>
      <c r="B2">
        <v>0</v>
      </c>
      <c r="C2">
        <v>0</v>
      </c>
      <c r="D2">
        <v>1</v>
      </c>
      <c r="E2">
        <v>0</v>
      </c>
      <c r="F2">
        <v>1</v>
      </c>
      <c r="G2">
        <v>0</v>
      </c>
      <c r="H2">
        <v>1</v>
      </c>
      <c r="I2">
        <v>1</v>
      </c>
      <c r="J2">
        <v>1</v>
      </c>
      <c r="M2" s="5"/>
    </row>
    <row r="3" spans="1:13" x14ac:dyDescent="0.3">
      <c r="A3" t="s">
        <v>10</v>
      </c>
      <c r="B3">
        <v>1</v>
      </c>
      <c r="C3">
        <v>0</v>
      </c>
      <c r="D3">
        <v>0</v>
      </c>
      <c r="E3">
        <v>1</v>
      </c>
      <c r="F3">
        <v>1</v>
      </c>
      <c r="G3">
        <v>0</v>
      </c>
      <c r="H3">
        <v>0</v>
      </c>
      <c r="I3">
        <v>1</v>
      </c>
      <c r="J3">
        <v>1</v>
      </c>
    </row>
    <row r="4" spans="1:13" x14ac:dyDescent="0.3">
      <c r="A4" t="s">
        <v>11</v>
      </c>
      <c r="B4">
        <v>0</v>
      </c>
      <c r="C4">
        <v>0</v>
      </c>
      <c r="D4">
        <v>0</v>
      </c>
      <c r="E4">
        <v>0</v>
      </c>
      <c r="F4">
        <v>0</v>
      </c>
      <c r="G4">
        <v>1</v>
      </c>
      <c r="H4">
        <v>0</v>
      </c>
      <c r="I4">
        <v>1</v>
      </c>
      <c r="J4">
        <v>0</v>
      </c>
    </row>
    <row r="5" spans="1:13" x14ac:dyDescent="0.3">
      <c r="A5" t="s">
        <v>12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1</v>
      </c>
      <c r="I5">
        <v>0</v>
      </c>
      <c r="J5">
        <v>1</v>
      </c>
    </row>
    <row r="6" spans="1:13" x14ac:dyDescent="0.3">
      <c r="A6" t="s">
        <v>13</v>
      </c>
      <c r="B6">
        <v>1</v>
      </c>
      <c r="C6">
        <v>0</v>
      </c>
      <c r="D6">
        <v>0</v>
      </c>
      <c r="E6">
        <v>0</v>
      </c>
      <c r="F6">
        <v>1</v>
      </c>
      <c r="G6">
        <v>0</v>
      </c>
      <c r="H6">
        <v>0</v>
      </c>
      <c r="I6">
        <v>1</v>
      </c>
      <c r="J6">
        <v>0</v>
      </c>
    </row>
    <row r="7" spans="1:13" x14ac:dyDescent="0.3">
      <c r="A7" t="s">
        <v>14</v>
      </c>
      <c r="B7">
        <v>1</v>
      </c>
      <c r="C7">
        <v>1</v>
      </c>
      <c r="D7">
        <v>1</v>
      </c>
      <c r="E7">
        <v>0</v>
      </c>
      <c r="F7">
        <v>0</v>
      </c>
      <c r="G7">
        <v>0</v>
      </c>
      <c r="H7">
        <v>1</v>
      </c>
      <c r="I7">
        <v>1</v>
      </c>
      <c r="J7">
        <v>1</v>
      </c>
    </row>
    <row r="8" spans="1:13" x14ac:dyDescent="0.3">
      <c r="A8" t="s">
        <v>15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3" x14ac:dyDescent="0.3">
      <c r="A9" t="s">
        <v>16</v>
      </c>
      <c r="B9">
        <v>1</v>
      </c>
      <c r="C9">
        <v>0</v>
      </c>
      <c r="D9">
        <v>1</v>
      </c>
      <c r="E9">
        <v>1</v>
      </c>
      <c r="F9">
        <v>0</v>
      </c>
      <c r="G9">
        <v>1</v>
      </c>
      <c r="H9">
        <v>1</v>
      </c>
      <c r="I9">
        <v>1</v>
      </c>
      <c r="J9">
        <v>1</v>
      </c>
    </row>
    <row r="10" spans="1:13" ht="15.6" x14ac:dyDescent="0.3">
      <c r="A10" t="s">
        <v>17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1</v>
      </c>
      <c r="J10">
        <v>0</v>
      </c>
      <c r="M10" s="5"/>
    </row>
    <row r="11" spans="1:13" x14ac:dyDescent="0.3">
      <c r="A11" t="s">
        <v>18</v>
      </c>
      <c r="B11">
        <v>1</v>
      </c>
      <c r="C11">
        <v>0</v>
      </c>
      <c r="D11">
        <v>1</v>
      </c>
      <c r="E11">
        <v>0</v>
      </c>
      <c r="F11">
        <v>1</v>
      </c>
      <c r="G11">
        <v>1</v>
      </c>
      <c r="H11">
        <v>1</v>
      </c>
      <c r="I11">
        <v>1</v>
      </c>
      <c r="J11">
        <v>1</v>
      </c>
      <c r="M11" s="6"/>
    </row>
    <row r="12" spans="1:13" x14ac:dyDescent="0.3">
      <c r="A12" t="s">
        <v>19</v>
      </c>
      <c r="B12">
        <v>1</v>
      </c>
      <c r="C12">
        <v>1</v>
      </c>
      <c r="D12">
        <v>1</v>
      </c>
      <c r="E12">
        <v>0</v>
      </c>
      <c r="F12">
        <v>1</v>
      </c>
      <c r="G12">
        <v>1</v>
      </c>
      <c r="H12">
        <v>1</v>
      </c>
      <c r="I12">
        <v>1</v>
      </c>
      <c r="J12">
        <v>1</v>
      </c>
      <c r="M12" s="7"/>
    </row>
    <row r="13" spans="1:13" x14ac:dyDescent="0.3">
      <c r="A13" t="s">
        <v>20</v>
      </c>
      <c r="B13">
        <v>1</v>
      </c>
      <c r="C13">
        <v>0</v>
      </c>
      <c r="D13">
        <v>1</v>
      </c>
      <c r="E13">
        <v>0</v>
      </c>
      <c r="F13">
        <v>1</v>
      </c>
      <c r="G13">
        <v>0</v>
      </c>
      <c r="H13">
        <v>1</v>
      </c>
      <c r="I13">
        <v>1</v>
      </c>
      <c r="J13">
        <v>1</v>
      </c>
      <c r="M13" s="8"/>
    </row>
    <row r="14" spans="1:13" x14ac:dyDescent="0.3">
      <c r="A14" t="s">
        <v>21</v>
      </c>
      <c r="B14">
        <v>0</v>
      </c>
      <c r="C14">
        <v>0</v>
      </c>
      <c r="D14">
        <v>1</v>
      </c>
      <c r="E14">
        <v>0</v>
      </c>
      <c r="F14">
        <v>1</v>
      </c>
      <c r="G14">
        <v>1</v>
      </c>
      <c r="H14">
        <v>1</v>
      </c>
      <c r="I14">
        <v>1</v>
      </c>
      <c r="J14">
        <v>1</v>
      </c>
    </row>
    <row r="15" spans="1:13" x14ac:dyDescent="0.3">
      <c r="A15" t="s">
        <v>22</v>
      </c>
      <c r="B15">
        <v>1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0</v>
      </c>
    </row>
    <row r="16" spans="1:13" x14ac:dyDescent="0.3">
      <c r="A16" t="s">
        <v>23</v>
      </c>
      <c r="B16">
        <v>1</v>
      </c>
      <c r="C16">
        <v>1</v>
      </c>
      <c r="D16">
        <v>1</v>
      </c>
      <c r="E16">
        <v>0</v>
      </c>
      <c r="F16">
        <v>1</v>
      </c>
      <c r="G16">
        <v>0</v>
      </c>
      <c r="H16">
        <v>1</v>
      </c>
      <c r="I16">
        <v>1</v>
      </c>
      <c r="J16">
        <v>1</v>
      </c>
    </row>
    <row r="17" spans="1:10" x14ac:dyDescent="0.3">
      <c r="A17" t="s">
        <v>24</v>
      </c>
      <c r="B17">
        <v>0</v>
      </c>
      <c r="C17">
        <v>0</v>
      </c>
      <c r="D17">
        <v>0</v>
      </c>
      <c r="E17">
        <v>1</v>
      </c>
      <c r="F17">
        <v>1</v>
      </c>
      <c r="G17">
        <v>0</v>
      </c>
      <c r="H17">
        <v>0</v>
      </c>
      <c r="I17">
        <v>1</v>
      </c>
      <c r="J17">
        <v>0</v>
      </c>
    </row>
    <row r="18" spans="1:10" x14ac:dyDescent="0.3">
      <c r="A18" t="s">
        <v>25</v>
      </c>
      <c r="B18">
        <v>1</v>
      </c>
      <c r="C18">
        <v>0</v>
      </c>
      <c r="D18">
        <v>1</v>
      </c>
      <c r="E18">
        <v>0</v>
      </c>
      <c r="F18">
        <v>1</v>
      </c>
      <c r="G18">
        <v>1</v>
      </c>
      <c r="H18">
        <v>1</v>
      </c>
      <c r="I18">
        <v>1</v>
      </c>
      <c r="J18">
        <v>1</v>
      </c>
    </row>
    <row r="19" spans="1:10" x14ac:dyDescent="0.3">
      <c r="A19" t="s">
        <v>26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1</v>
      </c>
      <c r="J19">
        <v>1</v>
      </c>
    </row>
    <row r="20" spans="1:10" x14ac:dyDescent="0.3">
      <c r="A20" t="s">
        <v>27</v>
      </c>
      <c r="B20">
        <v>1</v>
      </c>
      <c r="C20">
        <v>0</v>
      </c>
      <c r="D20">
        <v>1</v>
      </c>
      <c r="E20">
        <v>0</v>
      </c>
      <c r="F20">
        <v>1</v>
      </c>
      <c r="G20">
        <v>1</v>
      </c>
      <c r="H20">
        <v>1</v>
      </c>
      <c r="I20">
        <v>1</v>
      </c>
      <c r="J20">
        <v>1</v>
      </c>
    </row>
    <row r="21" spans="1:10" x14ac:dyDescent="0.3">
      <c r="A21" t="s">
        <v>28</v>
      </c>
      <c r="B21">
        <v>0</v>
      </c>
      <c r="C21">
        <v>1</v>
      </c>
      <c r="D21">
        <v>0</v>
      </c>
      <c r="E21">
        <v>0</v>
      </c>
      <c r="F21">
        <v>0</v>
      </c>
      <c r="G21">
        <v>0</v>
      </c>
      <c r="H21">
        <v>0</v>
      </c>
      <c r="I21">
        <v>1</v>
      </c>
      <c r="J21">
        <v>0</v>
      </c>
    </row>
    <row r="22" spans="1:10" x14ac:dyDescent="0.3">
      <c r="A22" t="s">
        <v>29</v>
      </c>
      <c r="B22">
        <v>1</v>
      </c>
      <c r="C22">
        <v>0</v>
      </c>
      <c r="D22">
        <v>1</v>
      </c>
      <c r="E22">
        <v>0</v>
      </c>
      <c r="F22">
        <v>1</v>
      </c>
      <c r="G22">
        <v>1</v>
      </c>
      <c r="H22">
        <v>1</v>
      </c>
      <c r="I22">
        <v>1</v>
      </c>
      <c r="J22">
        <v>1</v>
      </c>
    </row>
    <row r="23" spans="1:10" x14ac:dyDescent="0.3">
      <c r="A23" s="1" t="s">
        <v>30</v>
      </c>
      <c r="B23">
        <v>0.62</v>
      </c>
      <c r="C23">
        <v>0.31</v>
      </c>
      <c r="D23">
        <v>0.55000000000000004</v>
      </c>
      <c r="E23">
        <v>0.27</v>
      </c>
      <c r="F23">
        <v>0.48</v>
      </c>
      <c r="G23">
        <v>0.33</v>
      </c>
      <c r="H23">
        <v>0.71</v>
      </c>
      <c r="I23">
        <v>0.78</v>
      </c>
      <c r="J23">
        <v>0.51</v>
      </c>
    </row>
    <row r="24" spans="1:10" x14ac:dyDescent="0.3">
      <c r="A24" s="1" t="s">
        <v>31</v>
      </c>
      <c r="B24" s="2">
        <f>SUM(B2:B22)/COUNT(B2:B22)</f>
        <v>0.61904761904761907</v>
      </c>
      <c r="C24" s="2">
        <f t="shared" ref="C24:J24" si="0">SUM(C2:C22)/COUNT(C2:C22)</f>
        <v>0.23809523809523808</v>
      </c>
      <c r="D24" s="2">
        <f t="shared" si="0"/>
        <v>0.5714285714285714</v>
      </c>
      <c r="E24" s="2">
        <f t="shared" si="0"/>
        <v>0.19047619047619047</v>
      </c>
      <c r="F24" s="2">
        <f t="shared" si="0"/>
        <v>0.66666666666666663</v>
      </c>
      <c r="G24" s="2">
        <f t="shared" si="0"/>
        <v>0.42857142857142855</v>
      </c>
      <c r="H24" s="2">
        <f t="shared" si="0"/>
        <v>0.7142857142857143</v>
      </c>
      <c r="I24" s="2">
        <f t="shared" si="0"/>
        <v>0.95238095238095233</v>
      </c>
      <c r="J24" s="2">
        <f t="shared" si="0"/>
        <v>0.7142857142857143</v>
      </c>
    </row>
    <row r="25" spans="1:10" x14ac:dyDescent="0.3">
      <c r="A25" s="1" t="s">
        <v>32</v>
      </c>
      <c r="B25" s="2">
        <f>-LN(B24/(1-B24))</f>
        <v>-0.48550781578170094</v>
      </c>
      <c r="C25" s="2">
        <f t="shared" ref="C25:J25" si="1">-LN(C24/(1-C24))</f>
        <v>1.1631508098056809</v>
      </c>
      <c r="D25" s="2">
        <f t="shared" si="1"/>
        <v>-0.28768207245178085</v>
      </c>
      <c r="E25" s="2">
        <f t="shared" si="1"/>
        <v>1.4469189829363254</v>
      </c>
      <c r="F25" s="2">
        <f t="shared" si="1"/>
        <v>-0.69314718055994518</v>
      </c>
      <c r="G25" s="2">
        <f t="shared" si="1"/>
        <v>0.2876820724517809</v>
      </c>
      <c r="H25" s="2">
        <f t="shared" si="1"/>
        <v>-0.91629073187415511</v>
      </c>
      <c r="I25" s="2">
        <f t="shared" si="1"/>
        <v>-2.99573227355399</v>
      </c>
      <c r="J25" s="2">
        <f t="shared" si="1"/>
        <v>-0.91629073187415511</v>
      </c>
    </row>
    <row r="26" spans="1:10" x14ac:dyDescent="0.3">
      <c r="A26" s="4"/>
    </row>
  </sheetData>
  <pageMargins left="0.7" right="0.7" top="0.75" bottom="0.75" header="0.3" footer="0.3"/>
  <pageSetup paperSize="9" orientation="portrait" horizontalDpi="4294967293" verticalDpi="0" r:id="rId1"/>
  <ignoredErrors>
    <ignoredError sqref="B24:J24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L22"/>
  <sheetViews>
    <sheetView tabSelected="1" workbookViewId="0">
      <selection activeCell="K2" sqref="K2"/>
    </sheetView>
  </sheetViews>
  <sheetFormatPr defaultRowHeight="14.4" x14ac:dyDescent="0.3"/>
  <cols>
    <col min="1" max="1" width="10.21875" bestFit="1" customWidth="1"/>
    <col min="2" max="3" width="9.77734375" bestFit="1" customWidth="1"/>
    <col min="4" max="4" width="9.77734375" customWidth="1"/>
    <col min="5" max="9" width="9.77734375" bestFit="1" customWidth="1"/>
    <col min="10" max="10" width="9.77734375" customWidth="1"/>
    <col min="11" max="11" width="12.44140625" bestFit="1" customWidth="1"/>
    <col min="12" max="12" width="8.44140625" bestFit="1" customWidth="1"/>
  </cols>
  <sheetData>
    <row r="1" spans="1:12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s="3"/>
      <c r="L1" s="3"/>
    </row>
    <row r="2" spans="1:12" x14ac:dyDescent="0.3">
      <c r="A2" t="s">
        <v>9</v>
      </c>
      <c r="B2">
        <v>0</v>
      </c>
      <c r="C2">
        <v>0</v>
      </c>
      <c r="D2">
        <v>1</v>
      </c>
      <c r="E2">
        <v>0</v>
      </c>
      <c r="F2">
        <v>1</v>
      </c>
      <c r="G2">
        <v>0</v>
      </c>
      <c r="H2">
        <v>1</v>
      </c>
      <c r="I2">
        <v>1</v>
      </c>
      <c r="J2">
        <v>1</v>
      </c>
    </row>
    <row r="3" spans="1:12" x14ac:dyDescent="0.3">
      <c r="A3" t="s">
        <v>10</v>
      </c>
      <c r="B3">
        <v>1</v>
      </c>
      <c r="C3">
        <v>0</v>
      </c>
      <c r="D3">
        <v>0</v>
      </c>
      <c r="E3">
        <v>1</v>
      </c>
      <c r="F3">
        <v>1</v>
      </c>
      <c r="G3">
        <v>0</v>
      </c>
      <c r="H3">
        <v>0</v>
      </c>
      <c r="I3">
        <v>1</v>
      </c>
      <c r="J3">
        <v>1</v>
      </c>
    </row>
    <row r="4" spans="1:12" x14ac:dyDescent="0.3">
      <c r="A4" t="s">
        <v>11</v>
      </c>
      <c r="B4">
        <v>0</v>
      </c>
      <c r="C4">
        <v>0</v>
      </c>
      <c r="D4">
        <v>0</v>
      </c>
      <c r="E4">
        <v>0</v>
      </c>
      <c r="F4">
        <v>0</v>
      </c>
      <c r="G4">
        <v>1</v>
      </c>
      <c r="H4">
        <v>0</v>
      </c>
      <c r="I4">
        <v>1</v>
      </c>
      <c r="J4">
        <v>0</v>
      </c>
    </row>
    <row r="5" spans="1:12" x14ac:dyDescent="0.3">
      <c r="A5" t="s">
        <v>12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1</v>
      </c>
      <c r="I5">
        <v>0</v>
      </c>
      <c r="J5">
        <v>1</v>
      </c>
    </row>
    <row r="6" spans="1:12" x14ac:dyDescent="0.3">
      <c r="A6" t="s">
        <v>13</v>
      </c>
      <c r="B6">
        <v>1</v>
      </c>
      <c r="C6">
        <v>0</v>
      </c>
      <c r="D6">
        <v>0</v>
      </c>
      <c r="E6">
        <v>0</v>
      </c>
      <c r="F6">
        <v>1</v>
      </c>
      <c r="G6">
        <v>0</v>
      </c>
      <c r="H6">
        <v>0</v>
      </c>
      <c r="I6">
        <v>1</v>
      </c>
      <c r="J6">
        <v>0</v>
      </c>
    </row>
    <row r="7" spans="1:12" x14ac:dyDescent="0.3">
      <c r="A7" t="s">
        <v>14</v>
      </c>
      <c r="B7">
        <v>1</v>
      </c>
      <c r="C7">
        <v>1</v>
      </c>
      <c r="D7">
        <v>1</v>
      </c>
      <c r="E7">
        <v>0</v>
      </c>
      <c r="F7">
        <v>0</v>
      </c>
      <c r="G7">
        <v>0</v>
      </c>
      <c r="H7">
        <v>1</v>
      </c>
      <c r="I7">
        <v>1</v>
      </c>
      <c r="J7">
        <v>1</v>
      </c>
    </row>
    <row r="8" spans="1:12" x14ac:dyDescent="0.3">
      <c r="A8" t="s">
        <v>15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2" x14ac:dyDescent="0.3">
      <c r="A9" t="s">
        <v>16</v>
      </c>
      <c r="B9">
        <v>1</v>
      </c>
      <c r="C9">
        <v>0</v>
      </c>
      <c r="D9">
        <v>1</v>
      </c>
      <c r="E9">
        <v>1</v>
      </c>
      <c r="F9">
        <v>0</v>
      </c>
      <c r="G9">
        <v>1</v>
      </c>
      <c r="H9">
        <v>1</v>
      </c>
      <c r="I9">
        <v>1</v>
      </c>
      <c r="J9">
        <v>1</v>
      </c>
    </row>
    <row r="10" spans="1:12" x14ac:dyDescent="0.3">
      <c r="A10" t="s">
        <v>17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1</v>
      </c>
      <c r="J10">
        <v>0</v>
      </c>
    </row>
    <row r="11" spans="1:12" x14ac:dyDescent="0.3">
      <c r="A11" t="s">
        <v>18</v>
      </c>
      <c r="B11">
        <v>1</v>
      </c>
      <c r="C11">
        <v>0</v>
      </c>
      <c r="D11">
        <v>1</v>
      </c>
      <c r="E11">
        <v>0</v>
      </c>
      <c r="F11">
        <v>1</v>
      </c>
      <c r="G11">
        <v>1</v>
      </c>
      <c r="H11">
        <v>1</v>
      </c>
      <c r="I11">
        <v>1</v>
      </c>
      <c r="J11">
        <v>1</v>
      </c>
    </row>
    <row r="12" spans="1:12" x14ac:dyDescent="0.3">
      <c r="A12" t="s">
        <v>19</v>
      </c>
      <c r="B12">
        <v>1</v>
      </c>
      <c r="C12">
        <v>1</v>
      </c>
      <c r="D12">
        <v>1</v>
      </c>
      <c r="E12">
        <v>0</v>
      </c>
      <c r="F12">
        <v>1</v>
      </c>
      <c r="G12">
        <v>1</v>
      </c>
      <c r="H12">
        <v>1</v>
      </c>
      <c r="I12">
        <v>1</v>
      </c>
      <c r="J12">
        <v>1</v>
      </c>
    </row>
    <row r="13" spans="1:12" x14ac:dyDescent="0.3">
      <c r="A13" t="s">
        <v>20</v>
      </c>
      <c r="B13">
        <v>1</v>
      </c>
      <c r="C13">
        <v>0</v>
      </c>
      <c r="D13">
        <v>1</v>
      </c>
      <c r="E13">
        <v>0</v>
      </c>
      <c r="F13">
        <v>1</v>
      </c>
      <c r="G13">
        <v>0</v>
      </c>
      <c r="H13">
        <v>1</v>
      </c>
      <c r="I13">
        <v>1</v>
      </c>
      <c r="J13">
        <v>1</v>
      </c>
    </row>
    <row r="14" spans="1:12" x14ac:dyDescent="0.3">
      <c r="A14" t="s">
        <v>21</v>
      </c>
      <c r="B14">
        <v>0</v>
      </c>
      <c r="C14">
        <v>0</v>
      </c>
      <c r="D14">
        <v>1</v>
      </c>
      <c r="E14">
        <v>0</v>
      </c>
      <c r="F14">
        <v>1</v>
      </c>
      <c r="G14">
        <v>1</v>
      </c>
      <c r="H14">
        <v>1</v>
      </c>
      <c r="I14">
        <v>1</v>
      </c>
      <c r="J14">
        <v>1</v>
      </c>
    </row>
    <row r="15" spans="1:12" x14ac:dyDescent="0.3">
      <c r="A15" t="s">
        <v>22</v>
      </c>
      <c r="B15">
        <v>1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0</v>
      </c>
    </row>
    <row r="16" spans="1:12" x14ac:dyDescent="0.3">
      <c r="A16" t="s">
        <v>23</v>
      </c>
      <c r="B16">
        <v>1</v>
      </c>
      <c r="C16">
        <v>1</v>
      </c>
      <c r="D16">
        <v>1</v>
      </c>
      <c r="E16">
        <v>0</v>
      </c>
      <c r="F16">
        <v>1</v>
      </c>
      <c r="G16">
        <v>0</v>
      </c>
      <c r="H16">
        <v>1</v>
      </c>
      <c r="I16">
        <v>1</v>
      </c>
      <c r="J16">
        <v>1</v>
      </c>
    </row>
    <row r="17" spans="1:10" x14ac:dyDescent="0.3">
      <c r="A17" t="s">
        <v>24</v>
      </c>
      <c r="B17">
        <v>0</v>
      </c>
      <c r="C17">
        <v>0</v>
      </c>
      <c r="D17">
        <v>0</v>
      </c>
      <c r="E17">
        <v>1</v>
      </c>
      <c r="F17">
        <v>1</v>
      </c>
      <c r="G17">
        <v>0</v>
      </c>
      <c r="H17">
        <v>0</v>
      </c>
      <c r="I17">
        <v>1</v>
      </c>
      <c r="J17">
        <v>0</v>
      </c>
    </row>
    <row r="18" spans="1:10" x14ac:dyDescent="0.3">
      <c r="A18" t="s">
        <v>25</v>
      </c>
      <c r="B18">
        <v>1</v>
      </c>
      <c r="C18">
        <v>0</v>
      </c>
      <c r="D18">
        <v>1</v>
      </c>
      <c r="E18">
        <v>0</v>
      </c>
      <c r="F18">
        <v>1</v>
      </c>
      <c r="G18">
        <v>1</v>
      </c>
      <c r="H18">
        <v>1</v>
      </c>
      <c r="I18">
        <v>1</v>
      </c>
      <c r="J18">
        <v>1</v>
      </c>
    </row>
    <row r="19" spans="1:10" x14ac:dyDescent="0.3">
      <c r="A19" t="s">
        <v>26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1</v>
      </c>
      <c r="J19">
        <v>1</v>
      </c>
    </row>
    <row r="20" spans="1:10" x14ac:dyDescent="0.3">
      <c r="A20" t="s">
        <v>27</v>
      </c>
      <c r="B20">
        <v>1</v>
      </c>
      <c r="C20">
        <v>0</v>
      </c>
      <c r="D20">
        <v>1</v>
      </c>
      <c r="E20">
        <v>0</v>
      </c>
      <c r="F20">
        <v>1</v>
      </c>
      <c r="G20">
        <v>1</v>
      </c>
      <c r="H20">
        <v>1</v>
      </c>
      <c r="I20">
        <v>1</v>
      </c>
      <c r="J20">
        <v>1</v>
      </c>
    </row>
    <row r="21" spans="1:10" x14ac:dyDescent="0.3">
      <c r="A21" t="s">
        <v>28</v>
      </c>
      <c r="B21">
        <v>0</v>
      </c>
      <c r="C21">
        <v>1</v>
      </c>
      <c r="D21">
        <v>0</v>
      </c>
      <c r="E21">
        <v>0</v>
      </c>
      <c r="F21">
        <v>0</v>
      </c>
      <c r="G21">
        <v>0</v>
      </c>
      <c r="H21">
        <v>0</v>
      </c>
      <c r="I21">
        <v>1</v>
      </c>
      <c r="J21">
        <v>0</v>
      </c>
    </row>
    <row r="22" spans="1:10" x14ac:dyDescent="0.3">
      <c r="A22" t="s">
        <v>29</v>
      </c>
      <c r="B22">
        <v>1</v>
      </c>
      <c r="C22">
        <v>0</v>
      </c>
      <c r="D22">
        <v>1</v>
      </c>
      <c r="E22">
        <v>0</v>
      </c>
      <c r="F22">
        <v>1</v>
      </c>
      <c r="G22">
        <v>1</v>
      </c>
      <c r="H22">
        <v>1</v>
      </c>
      <c r="I22">
        <v>1</v>
      </c>
      <c r="J2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D10"/>
  <sheetViews>
    <sheetView zoomScale="148" workbookViewId="0">
      <selection activeCell="E17" sqref="E17"/>
    </sheetView>
  </sheetViews>
  <sheetFormatPr defaultRowHeight="14.4" x14ac:dyDescent="0.3"/>
  <sheetData>
    <row r="1" spans="1:4" x14ac:dyDescent="0.3">
      <c r="A1" t="s">
        <v>33</v>
      </c>
      <c r="B1" t="s">
        <v>30</v>
      </c>
      <c r="C1" t="s">
        <v>32</v>
      </c>
      <c r="D1" t="s">
        <v>31</v>
      </c>
    </row>
    <row r="2" spans="1:4" x14ac:dyDescent="0.3">
      <c r="A2">
        <v>1</v>
      </c>
      <c r="B2">
        <v>0.62</v>
      </c>
      <c r="C2" s="2">
        <v>-0.49</v>
      </c>
      <c r="D2" s="2">
        <v>0.62</v>
      </c>
    </row>
    <row r="3" spans="1:4" x14ac:dyDescent="0.3">
      <c r="A3">
        <v>2</v>
      </c>
      <c r="B3">
        <v>0.31</v>
      </c>
      <c r="C3" s="2">
        <v>1.1599999999999999</v>
      </c>
      <c r="D3" s="2">
        <v>0.24</v>
      </c>
    </row>
    <row r="4" spans="1:4" x14ac:dyDescent="0.3">
      <c r="A4">
        <v>3</v>
      </c>
      <c r="B4">
        <v>0.55000000000000004</v>
      </c>
      <c r="C4" s="2">
        <v>-0.28999999999999998</v>
      </c>
      <c r="D4" s="2">
        <v>0.56999999999999995</v>
      </c>
    </row>
    <row r="5" spans="1:4" x14ac:dyDescent="0.3">
      <c r="A5">
        <v>4</v>
      </c>
      <c r="B5">
        <v>0.27</v>
      </c>
      <c r="C5" s="2">
        <v>1.45</v>
      </c>
      <c r="D5" s="2">
        <v>0.19</v>
      </c>
    </row>
    <row r="6" spans="1:4" x14ac:dyDescent="0.3">
      <c r="A6">
        <v>5</v>
      </c>
      <c r="B6">
        <v>0.48</v>
      </c>
      <c r="C6" s="2">
        <v>-0.69</v>
      </c>
      <c r="D6" s="2">
        <v>0.67</v>
      </c>
    </row>
    <row r="7" spans="1:4" x14ac:dyDescent="0.3">
      <c r="A7">
        <v>6</v>
      </c>
      <c r="B7">
        <v>0.33</v>
      </c>
      <c r="C7" s="2">
        <v>0.28999999999999998</v>
      </c>
      <c r="D7" s="2">
        <v>0.43</v>
      </c>
    </row>
    <row r="8" spans="1:4" x14ac:dyDescent="0.3">
      <c r="A8">
        <v>7</v>
      </c>
      <c r="B8">
        <v>0.71</v>
      </c>
      <c r="C8" s="2">
        <v>-0.92</v>
      </c>
      <c r="D8" s="2">
        <v>0.71</v>
      </c>
    </row>
    <row r="9" spans="1:4" x14ac:dyDescent="0.3">
      <c r="A9">
        <v>8</v>
      </c>
      <c r="B9">
        <v>0.78</v>
      </c>
      <c r="C9" s="2">
        <v>-3</v>
      </c>
      <c r="D9" s="2">
        <v>0.95</v>
      </c>
    </row>
    <row r="10" spans="1:4" x14ac:dyDescent="0.3">
      <c r="A10">
        <v>9</v>
      </c>
      <c r="B10">
        <v>0.51</v>
      </c>
      <c r="C10" s="2">
        <v>-0.92</v>
      </c>
      <c r="D10" s="2">
        <v>0.71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H22"/>
  <sheetViews>
    <sheetView workbookViewId="0">
      <selection activeCell="H15" sqref="H15"/>
    </sheetView>
  </sheetViews>
  <sheetFormatPr defaultRowHeight="14.4" x14ac:dyDescent="0.3"/>
  <cols>
    <col min="1" max="1" width="10.21875" bestFit="1" customWidth="1"/>
    <col min="2" max="2" width="9.6640625" bestFit="1" customWidth="1"/>
    <col min="3" max="3" width="9" bestFit="1" customWidth="1"/>
    <col min="4" max="4" width="5.5546875" bestFit="1" customWidth="1"/>
    <col min="5" max="5" width="7.109375" bestFit="1" customWidth="1"/>
    <col min="6" max="6" width="13.6640625" bestFit="1" customWidth="1"/>
    <col min="7" max="7" width="6.77734375" bestFit="1" customWidth="1"/>
    <col min="8" max="8" width="10.109375" bestFit="1" customWidth="1"/>
  </cols>
  <sheetData>
    <row r="1" spans="1:8" s="9" customFormat="1" x14ac:dyDescent="0.3">
      <c r="A1" s="9" t="s">
        <v>35</v>
      </c>
      <c r="B1" s="9" t="s">
        <v>46</v>
      </c>
      <c r="C1" s="9" t="s">
        <v>34</v>
      </c>
      <c r="D1" s="9" t="s">
        <v>47</v>
      </c>
      <c r="E1" s="9" t="s">
        <v>48</v>
      </c>
      <c r="F1" s="9" t="s">
        <v>49</v>
      </c>
      <c r="G1" s="9" t="s">
        <v>50</v>
      </c>
      <c r="H1" s="9" t="s">
        <v>51</v>
      </c>
    </row>
    <row r="2" spans="1:8" x14ac:dyDescent="0.3">
      <c r="A2" t="s">
        <v>9</v>
      </c>
      <c r="B2">
        <v>0.42347899999999999</v>
      </c>
      <c r="C2">
        <v>1.4432929999999999</v>
      </c>
      <c r="D2">
        <v>9</v>
      </c>
      <c r="E2">
        <v>5</v>
      </c>
      <c r="F2" t="s">
        <v>59</v>
      </c>
      <c r="G2">
        <v>0</v>
      </c>
      <c r="H2" t="s">
        <v>60</v>
      </c>
    </row>
    <row r="3" spans="1:8" x14ac:dyDescent="0.3">
      <c r="A3" t="s">
        <v>10</v>
      </c>
      <c r="B3">
        <v>-0.30056500000000003</v>
      </c>
      <c r="C3">
        <v>1.3633949999999999</v>
      </c>
      <c r="D3">
        <v>9</v>
      </c>
      <c r="E3">
        <v>5</v>
      </c>
      <c r="F3" t="s">
        <v>68</v>
      </c>
      <c r="G3">
        <v>0</v>
      </c>
      <c r="H3" t="s">
        <v>60</v>
      </c>
    </row>
    <row r="4" spans="1:8" x14ac:dyDescent="0.3">
      <c r="A4" t="s">
        <v>11</v>
      </c>
      <c r="B4">
        <v>-3.1818650000000002</v>
      </c>
      <c r="C4">
        <v>1.4871810000000001</v>
      </c>
      <c r="D4">
        <v>9</v>
      </c>
      <c r="E4">
        <v>2</v>
      </c>
      <c r="F4" t="s">
        <v>74</v>
      </c>
      <c r="G4">
        <v>0</v>
      </c>
      <c r="H4" t="s">
        <v>60</v>
      </c>
    </row>
    <row r="5" spans="1:8" x14ac:dyDescent="0.3">
      <c r="A5" t="s">
        <v>12</v>
      </c>
      <c r="B5">
        <v>-2.0162490000000002</v>
      </c>
      <c r="C5">
        <v>1.3502639999999999</v>
      </c>
      <c r="D5">
        <v>9</v>
      </c>
      <c r="E5">
        <v>3</v>
      </c>
      <c r="F5" t="s">
        <v>80</v>
      </c>
      <c r="G5">
        <v>0</v>
      </c>
      <c r="H5" t="s">
        <v>60</v>
      </c>
    </row>
    <row r="6" spans="1:8" x14ac:dyDescent="0.3">
      <c r="A6" t="s">
        <v>13</v>
      </c>
      <c r="B6">
        <v>-1.6922349999999999</v>
      </c>
      <c r="C6">
        <v>1.3345579999999999</v>
      </c>
      <c r="D6">
        <v>9</v>
      </c>
      <c r="E6">
        <v>3</v>
      </c>
      <c r="F6" t="s">
        <v>68</v>
      </c>
      <c r="G6">
        <v>0</v>
      </c>
      <c r="H6" t="s">
        <v>60</v>
      </c>
    </row>
    <row r="7" spans="1:8" x14ac:dyDescent="0.3">
      <c r="A7" t="s">
        <v>14</v>
      </c>
      <c r="B7">
        <v>1.480362</v>
      </c>
      <c r="C7">
        <v>1.6455420000000001</v>
      </c>
      <c r="D7">
        <v>9</v>
      </c>
      <c r="E7">
        <v>6</v>
      </c>
      <c r="F7" t="s">
        <v>82</v>
      </c>
      <c r="G7">
        <v>0</v>
      </c>
      <c r="H7" t="s">
        <v>60</v>
      </c>
    </row>
    <row r="8" spans="1:8" x14ac:dyDescent="0.3">
      <c r="A8" t="s">
        <v>15</v>
      </c>
      <c r="B8">
        <v>4</v>
      </c>
      <c r="C8">
        <v>2.5389240000000002</v>
      </c>
      <c r="D8">
        <v>9</v>
      </c>
      <c r="E8">
        <v>9</v>
      </c>
      <c r="F8" t="s">
        <v>86</v>
      </c>
      <c r="G8">
        <v>0</v>
      </c>
      <c r="H8" t="s">
        <v>87</v>
      </c>
    </row>
    <row r="9" spans="1:8" x14ac:dyDescent="0.3">
      <c r="A9" t="s">
        <v>16</v>
      </c>
      <c r="B9">
        <v>2.3801730000000001</v>
      </c>
      <c r="C9">
        <v>1.8988480000000001</v>
      </c>
      <c r="D9">
        <v>9</v>
      </c>
      <c r="E9">
        <v>7</v>
      </c>
      <c r="F9" t="s">
        <v>82</v>
      </c>
      <c r="G9">
        <v>0</v>
      </c>
      <c r="H9" t="s">
        <v>60</v>
      </c>
    </row>
    <row r="10" spans="1:8" x14ac:dyDescent="0.3">
      <c r="A10" t="s">
        <v>17</v>
      </c>
      <c r="B10">
        <v>-2.4072330000000002</v>
      </c>
      <c r="C10">
        <v>1.3811560000000001</v>
      </c>
      <c r="D10">
        <v>9</v>
      </c>
      <c r="E10">
        <v>2</v>
      </c>
      <c r="F10" t="s">
        <v>80</v>
      </c>
      <c r="G10">
        <v>0</v>
      </c>
      <c r="H10" t="s">
        <v>60</v>
      </c>
    </row>
    <row r="11" spans="1:8" x14ac:dyDescent="0.3">
      <c r="A11" t="s">
        <v>18</v>
      </c>
      <c r="B11">
        <v>3.2593909999999999</v>
      </c>
      <c r="C11">
        <v>2.2173560000000001</v>
      </c>
      <c r="D11">
        <v>9</v>
      </c>
      <c r="E11">
        <v>7</v>
      </c>
      <c r="F11" t="s">
        <v>82</v>
      </c>
      <c r="G11">
        <v>0</v>
      </c>
      <c r="H11" t="s">
        <v>60</v>
      </c>
    </row>
    <row r="12" spans="1:8" x14ac:dyDescent="0.3">
      <c r="A12" t="s">
        <v>19</v>
      </c>
      <c r="B12">
        <v>4</v>
      </c>
      <c r="C12">
        <v>2.5389240000000002</v>
      </c>
      <c r="D12">
        <v>9</v>
      </c>
      <c r="E12">
        <v>8</v>
      </c>
      <c r="F12" t="s">
        <v>86</v>
      </c>
      <c r="G12">
        <v>0</v>
      </c>
      <c r="H12" t="s">
        <v>87</v>
      </c>
    </row>
    <row r="13" spans="1:8" x14ac:dyDescent="0.3">
      <c r="A13" t="s">
        <v>20</v>
      </c>
      <c r="B13">
        <v>1.9760599999999999</v>
      </c>
      <c r="C13">
        <v>1.7759</v>
      </c>
      <c r="D13">
        <v>9</v>
      </c>
      <c r="E13">
        <v>6</v>
      </c>
      <c r="F13" t="s">
        <v>82</v>
      </c>
      <c r="G13">
        <v>0</v>
      </c>
      <c r="H13" t="s">
        <v>60</v>
      </c>
    </row>
    <row r="14" spans="1:8" x14ac:dyDescent="0.3">
      <c r="A14" t="s">
        <v>21</v>
      </c>
      <c r="B14">
        <v>1.1695679999999999</v>
      </c>
      <c r="C14">
        <v>1.5753729999999999</v>
      </c>
      <c r="D14">
        <v>9</v>
      </c>
      <c r="E14">
        <v>6</v>
      </c>
      <c r="F14" t="s">
        <v>82</v>
      </c>
      <c r="G14">
        <v>0</v>
      </c>
      <c r="H14" t="s">
        <v>60</v>
      </c>
    </row>
    <row r="15" spans="1:8" x14ac:dyDescent="0.3">
      <c r="A15" t="s">
        <v>22</v>
      </c>
      <c r="B15">
        <v>-1.2856430000000001</v>
      </c>
      <c r="C15">
        <v>1.32681</v>
      </c>
      <c r="D15">
        <v>9</v>
      </c>
      <c r="E15">
        <v>3</v>
      </c>
      <c r="F15" t="s">
        <v>93</v>
      </c>
      <c r="G15">
        <v>0</v>
      </c>
      <c r="H15" t="s">
        <v>60</v>
      </c>
    </row>
    <row r="16" spans="1:8" x14ac:dyDescent="0.3">
      <c r="A16" t="s">
        <v>23</v>
      </c>
      <c r="B16">
        <v>3.162766</v>
      </c>
      <c r="C16">
        <v>2.1789710000000002</v>
      </c>
      <c r="D16">
        <v>9</v>
      </c>
      <c r="E16">
        <v>7</v>
      </c>
      <c r="F16" t="s">
        <v>86</v>
      </c>
      <c r="G16">
        <v>0</v>
      </c>
      <c r="H16" t="s">
        <v>60</v>
      </c>
    </row>
    <row r="17" spans="1:8" x14ac:dyDescent="0.3">
      <c r="A17" t="s">
        <v>24</v>
      </c>
      <c r="B17">
        <v>-2.3313250000000001</v>
      </c>
      <c r="C17">
        <v>1.374082</v>
      </c>
      <c r="D17">
        <v>9</v>
      </c>
      <c r="E17">
        <v>3</v>
      </c>
      <c r="F17" t="s">
        <v>74</v>
      </c>
      <c r="G17">
        <v>0</v>
      </c>
      <c r="H17" t="s">
        <v>60</v>
      </c>
    </row>
    <row r="18" spans="1:8" x14ac:dyDescent="0.3">
      <c r="A18" t="s">
        <v>25</v>
      </c>
      <c r="B18">
        <v>3.2593909999999999</v>
      </c>
      <c r="C18">
        <v>2.2173560000000001</v>
      </c>
      <c r="D18">
        <v>9</v>
      </c>
      <c r="E18">
        <v>7</v>
      </c>
      <c r="F18" t="s">
        <v>82</v>
      </c>
      <c r="G18">
        <v>0</v>
      </c>
      <c r="H18" t="s">
        <v>60</v>
      </c>
    </row>
    <row r="19" spans="1:8" x14ac:dyDescent="0.3">
      <c r="A19" t="s">
        <v>26</v>
      </c>
      <c r="B19">
        <v>-2.8006440000000001</v>
      </c>
      <c r="C19">
        <v>1.4268609999999999</v>
      </c>
      <c r="D19">
        <v>9</v>
      </c>
      <c r="E19">
        <v>2</v>
      </c>
      <c r="F19" t="s">
        <v>74</v>
      </c>
      <c r="G19">
        <v>0</v>
      </c>
      <c r="H19" t="s">
        <v>60</v>
      </c>
    </row>
    <row r="20" spans="1:8" x14ac:dyDescent="0.3">
      <c r="A20" t="s">
        <v>27</v>
      </c>
      <c r="B20">
        <v>3.2593909999999999</v>
      </c>
      <c r="C20">
        <v>2.2173560000000001</v>
      </c>
      <c r="D20">
        <v>9</v>
      </c>
      <c r="E20">
        <v>7</v>
      </c>
      <c r="F20" t="s">
        <v>82</v>
      </c>
      <c r="G20">
        <v>0</v>
      </c>
      <c r="H20" t="s">
        <v>60</v>
      </c>
    </row>
    <row r="21" spans="1:8" x14ac:dyDescent="0.3">
      <c r="A21" t="s">
        <v>28</v>
      </c>
      <c r="B21">
        <v>-3.2263410000000001</v>
      </c>
      <c r="C21">
        <v>1.495352</v>
      </c>
      <c r="D21">
        <v>9</v>
      </c>
      <c r="E21">
        <v>2</v>
      </c>
      <c r="F21" t="s">
        <v>74</v>
      </c>
      <c r="G21">
        <v>0</v>
      </c>
      <c r="H21" t="s">
        <v>60</v>
      </c>
    </row>
    <row r="22" spans="1:8" x14ac:dyDescent="0.3">
      <c r="A22" t="s">
        <v>29</v>
      </c>
      <c r="B22">
        <v>3.2593909999999999</v>
      </c>
      <c r="C22">
        <v>2.2173560000000001</v>
      </c>
      <c r="D22">
        <v>9</v>
      </c>
      <c r="E22">
        <v>7</v>
      </c>
      <c r="F22" t="s">
        <v>82</v>
      </c>
      <c r="G22">
        <v>0</v>
      </c>
      <c r="H22" t="s">
        <v>60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O190"/>
  <sheetViews>
    <sheetView workbookViewId="0">
      <selection activeCell="D114" sqref="D114"/>
    </sheetView>
  </sheetViews>
  <sheetFormatPr defaultRowHeight="14.4" x14ac:dyDescent="0.3"/>
  <cols>
    <col min="1" max="1" width="10.21875" bestFit="1" customWidth="1"/>
    <col min="2" max="2" width="4.77734375" bestFit="1" customWidth="1"/>
    <col min="3" max="3" width="9.5546875" bestFit="1" customWidth="1"/>
    <col min="4" max="4" width="5" bestFit="1" customWidth="1"/>
    <col min="5" max="5" width="5.6640625" bestFit="1" customWidth="1"/>
    <col min="6" max="6" width="9" bestFit="1" customWidth="1"/>
    <col min="7" max="7" width="14.21875" bestFit="1" customWidth="1"/>
    <col min="8" max="8" width="9" bestFit="1" customWidth="1"/>
    <col min="9" max="9" width="9.6640625" bestFit="1" customWidth="1"/>
    <col min="10" max="10" width="12.6640625" bestFit="1" customWidth="1"/>
    <col min="11" max="11" width="12.33203125" bestFit="1" customWidth="1"/>
    <col min="12" max="12" width="10.77734375" bestFit="1" customWidth="1"/>
    <col min="13" max="13" width="10.109375" bestFit="1" customWidth="1"/>
    <col min="14" max="14" width="9" bestFit="1" customWidth="1"/>
    <col min="15" max="15" width="13.6640625" bestFit="1" customWidth="1"/>
  </cols>
  <sheetData>
    <row r="1" spans="1:15" s="9" customFormat="1" x14ac:dyDescent="0.3">
      <c r="A1" s="9" t="s">
        <v>35</v>
      </c>
      <c r="B1" s="9" t="s">
        <v>36</v>
      </c>
      <c r="C1" s="9" t="s">
        <v>37</v>
      </c>
      <c r="D1" s="9" t="s">
        <v>30</v>
      </c>
      <c r="E1" s="9" t="s">
        <v>32</v>
      </c>
      <c r="F1" s="9" t="s">
        <v>38</v>
      </c>
      <c r="G1" s="9" t="s">
        <v>94</v>
      </c>
      <c r="H1" s="9" t="s">
        <v>39</v>
      </c>
      <c r="I1" s="9" t="s">
        <v>40</v>
      </c>
      <c r="J1" s="9" t="s">
        <v>41</v>
      </c>
      <c r="K1" s="9" t="s">
        <v>42</v>
      </c>
      <c r="L1" s="9" t="s">
        <v>43</v>
      </c>
      <c r="M1" s="9" t="s">
        <v>44</v>
      </c>
      <c r="N1" s="9" t="s">
        <v>34</v>
      </c>
      <c r="O1" s="9" t="s">
        <v>45</v>
      </c>
    </row>
    <row r="2" spans="1:15" x14ac:dyDescent="0.3">
      <c r="A2" t="s">
        <v>9</v>
      </c>
      <c r="B2">
        <v>1</v>
      </c>
      <c r="C2">
        <v>7</v>
      </c>
      <c r="D2">
        <v>0.71</v>
      </c>
      <c r="E2">
        <v>-0.92</v>
      </c>
      <c r="F2">
        <v>1</v>
      </c>
      <c r="G2">
        <v>0.65773099999999995</v>
      </c>
      <c r="H2">
        <v>0.113483</v>
      </c>
      <c r="I2">
        <v>2.0948999999999999E-2</v>
      </c>
      <c r="J2">
        <v>-1.4435E-2</v>
      </c>
      <c r="K2">
        <v>0</v>
      </c>
      <c r="L2">
        <v>4</v>
      </c>
      <c r="M2">
        <v>4</v>
      </c>
      <c r="N2">
        <v>8.3231490000000008</v>
      </c>
      <c r="O2">
        <v>7</v>
      </c>
    </row>
    <row r="3" spans="1:15" x14ac:dyDescent="0.3">
      <c r="A3" t="s">
        <v>9</v>
      </c>
      <c r="B3">
        <v>2</v>
      </c>
      <c r="C3">
        <v>3</v>
      </c>
      <c r="D3">
        <v>0.55000000000000004</v>
      </c>
      <c r="E3">
        <v>-0.28999999999999998</v>
      </c>
      <c r="F3">
        <v>1</v>
      </c>
      <c r="G3">
        <v>0.913686</v>
      </c>
      <c r="H3">
        <v>2.3855999999999999E-2</v>
      </c>
      <c r="I3">
        <v>6.8421999999999997E-2</v>
      </c>
      <c r="J3">
        <v>-3.8290999999999999E-2</v>
      </c>
      <c r="K3">
        <v>4</v>
      </c>
      <c r="L3">
        <v>4</v>
      </c>
      <c r="M3">
        <v>0</v>
      </c>
      <c r="N3">
        <v>5.1103290000000001</v>
      </c>
      <c r="O3" t="s">
        <v>52</v>
      </c>
    </row>
    <row r="4" spans="1:15" x14ac:dyDescent="0.3">
      <c r="A4" t="s">
        <v>9</v>
      </c>
      <c r="B4">
        <v>3</v>
      </c>
      <c r="C4">
        <v>1</v>
      </c>
      <c r="D4">
        <v>0.62</v>
      </c>
      <c r="E4">
        <v>-0.49</v>
      </c>
      <c r="F4">
        <v>0</v>
      </c>
      <c r="G4">
        <v>0.94179400000000002</v>
      </c>
      <c r="H4">
        <v>2.1072E-2</v>
      </c>
      <c r="I4">
        <v>1.0618890000000001</v>
      </c>
      <c r="J4">
        <v>-0.111721</v>
      </c>
      <c r="K4">
        <v>4</v>
      </c>
      <c r="L4">
        <v>4</v>
      </c>
      <c r="M4">
        <v>0</v>
      </c>
      <c r="N4">
        <v>4.1043099999999999</v>
      </c>
      <c r="O4" t="s">
        <v>53</v>
      </c>
    </row>
    <row r="5" spans="1:15" x14ac:dyDescent="0.3">
      <c r="A5" t="s">
        <v>9</v>
      </c>
      <c r="B5">
        <v>4</v>
      </c>
      <c r="C5">
        <v>2</v>
      </c>
      <c r="D5">
        <v>0.31</v>
      </c>
      <c r="E5">
        <v>1.1599999999999999</v>
      </c>
      <c r="F5">
        <v>0</v>
      </c>
      <c r="G5">
        <v>0.70690500000000001</v>
      </c>
      <c r="H5">
        <v>1.9911000000000002E-2</v>
      </c>
      <c r="I5">
        <v>1.009798</v>
      </c>
      <c r="J5">
        <v>-0.12515499999999999</v>
      </c>
      <c r="K5">
        <v>4</v>
      </c>
      <c r="L5">
        <v>4</v>
      </c>
      <c r="M5">
        <v>0</v>
      </c>
      <c r="N5">
        <v>3.5516749999999999</v>
      </c>
      <c r="O5" t="s">
        <v>54</v>
      </c>
    </row>
    <row r="6" spans="1:15" x14ac:dyDescent="0.3">
      <c r="A6" t="s">
        <v>9</v>
      </c>
      <c r="B6">
        <v>5</v>
      </c>
      <c r="C6">
        <v>5</v>
      </c>
      <c r="D6">
        <v>0.48</v>
      </c>
      <c r="E6">
        <v>-0.69</v>
      </c>
      <c r="F6">
        <v>1</v>
      </c>
      <c r="G6">
        <v>0.90475399999999995</v>
      </c>
      <c r="H6">
        <v>1.9855000000000001E-2</v>
      </c>
      <c r="I6">
        <v>3.9999999999999998E-6</v>
      </c>
      <c r="J6">
        <v>-0.32793899999999998</v>
      </c>
      <c r="K6">
        <v>4</v>
      </c>
      <c r="L6">
        <v>0.61391399999999996</v>
      </c>
      <c r="M6">
        <v>-3.3860860000000002</v>
      </c>
      <c r="N6">
        <v>1.7462409999999999</v>
      </c>
      <c r="O6" t="s">
        <v>55</v>
      </c>
    </row>
    <row r="7" spans="1:15" x14ac:dyDescent="0.3">
      <c r="A7" t="s">
        <v>9</v>
      </c>
      <c r="B7">
        <v>6</v>
      </c>
      <c r="C7">
        <v>9</v>
      </c>
      <c r="D7">
        <v>0.51</v>
      </c>
      <c r="E7">
        <v>-0.92</v>
      </c>
      <c r="F7">
        <v>1</v>
      </c>
      <c r="G7">
        <v>0.68617499999999998</v>
      </c>
      <c r="H7">
        <v>5.6009999999999997E-2</v>
      </c>
      <c r="I7">
        <v>1.9000000000000001E-5</v>
      </c>
      <c r="J7">
        <v>-0.34696100000000002</v>
      </c>
      <c r="K7">
        <v>0.61391399999999996</v>
      </c>
      <c r="L7">
        <v>1.0513669999999999</v>
      </c>
      <c r="M7">
        <v>0.43745299999999998</v>
      </c>
      <c r="N7">
        <v>1.6977059999999999</v>
      </c>
      <c r="O7" t="s">
        <v>56</v>
      </c>
    </row>
    <row r="8" spans="1:15" x14ac:dyDescent="0.3">
      <c r="A8" t="s">
        <v>9</v>
      </c>
      <c r="B8">
        <v>7</v>
      </c>
      <c r="C8">
        <v>6</v>
      </c>
      <c r="D8">
        <v>0.33</v>
      </c>
      <c r="E8">
        <v>0.28999999999999998</v>
      </c>
      <c r="F8">
        <v>0</v>
      </c>
      <c r="G8">
        <v>0.56248399999999998</v>
      </c>
      <c r="H8">
        <v>2.6800000000000001E-2</v>
      </c>
      <c r="I8">
        <v>2.5000000000000001E-5</v>
      </c>
      <c r="J8">
        <v>-0.41370099999999999</v>
      </c>
      <c r="K8">
        <v>1.0513669999999999</v>
      </c>
      <c r="L8">
        <v>0.58055000000000001</v>
      </c>
      <c r="M8">
        <v>-0.47081699999999999</v>
      </c>
      <c r="N8">
        <v>1.554745</v>
      </c>
      <c r="O8" t="s">
        <v>57</v>
      </c>
    </row>
    <row r="9" spans="1:15" x14ac:dyDescent="0.3">
      <c r="A9" t="s">
        <v>9</v>
      </c>
      <c r="B9">
        <v>8</v>
      </c>
      <c r="C9">
        <v>8</v>
      </c>
      <c r="D9">
        <v>0.78</v>
      </c>
      <c r="E9">
        <v>-3</v>
      </c>
      <c r="F9">
        <v>1</v>
      </c>
      <c r="G9">
        <v>0.94228699999999999</v>
      </c>
      <c r="H9">
        <v>3.3085999999999997E-2</v>
      </c>
      <c r="I9">
        <v>0</v>
      </c>
      <c r="J9">
        <v>-0.43644899999999998</v>
      </c>
      <c r="K9">
        <v>0.58055000000000001</v>
      </c>
      <c r="L9">
        <v>0.68247999999999998</v>
      </c>
      <c r="M9">
        <v>0.10193000000000001</v>
      </c>
      <c r="N9">
        <v>1.5136769999999999</v>
      </c>
      <c r="O9" t="s">
        <v>58</v>
      </c>
    </row>
    <row r="10" spans="1:15" x14ac:dyDescent="0.3">
      <c r="A10" t="s">
        <v>9</v>
      </c>
      <c r="B10">
        <v>9</v>
      </c>
      <c r="C10">
        <v>4</v>
      </c>
      <c r="D10">
        <v>0.27</v>
      </c>
      <c r="E10">
        <v>1.45</v>
      </c>
      <c r="F10">
        <v>0</v>
      </c>
      <c r="G10">
        <v>0.44837700000000003</v>
      </c>
      <c r="H10">
        <v>1.8030999999999998E-2</v>
      </c>
      <c r="I10">
        <v>3.0000000000000001E-6</v>
      </c>
      <c r="J10">
        <v>-0.48005599999999998</v>
      </c>
      <c r="K10">
        <v>0.68247999999999998</v>
      </c>
      <c r="L10">
        <v>0.42347899999999999</v>
      </c>
      <c r="M10">
        <v>-0.25900099999999998</v>
      </c>
      <c r="N10">
        <v>1.4432929999999999</v>
      </c>
      <c r="O10" t="s">
        <v>59</v>
      </c>
    </row>
    <row r="11" spans="1:15" x14ac:dyDescent="0.3">
      <c r="A11" t="s">
        <v>10</v>
      </c>
      <c r="B11">
        <v>1</v>
      </c>
      <c r="C11">
        <v>7</v>
      </c>
      <c r="D11">
        <v>0.71</v>
      </c>
      <c r="E11">
        <v>-0.92</v>
      </c>
      <c r="F11">
        <v>0</v>
      </c>
      <c r="G11">
        <v>0.65773099999999995</v>
      </c>
      <c r="H11">
        <v>0.113483</v>
      </c>
      <c r="I11">
        <v>-7.1668999999999997E-2</v>
      </c>
      <c r="J11">
        <v>-4.5747999999999997E-2</v>
      </c>
      <c r="K11">
        <v>0</v>
      </c>
      <c r="L11">
        <v>-4</v>
      </c>
      <c r="M11">
        <v>-4</v>
      </c>
      <c r="N11">
        <v>4.6753229999999997</v>
      </c>
      <c r="O11">
        <v>7</v>
      </c>
    </row>
    <row r="12" spans="1:15" x14ac:dyDescent="0.3">
      <c r="A12" t="s">
        <v>10</v>
      </c>
      <c r="B12">
        <v>2</v>
      </c>
      <c r="C12">
        <v>8</v>
      </c>
      <c r="D12">
        <v>0.78</v>
      </c>
      <c r="E12">
        <v>-3</v>
      </c>
      <c r="F12">
        <v>1</v>
      </c>
      <c r="G12">
        <v>0.31431999999999999</v>
      </c>
      <c r="H12">
        <v>0.13112399999999999</v>
      </c>
      <c r="I12">
        <v>1.9999999999999999E-6</v>
      </c>
      <c r="J12">
        <v>-0.23935899999999999</v>
      </c>
      <c r="K12">
        <v>-4</v>
      </c>
      <c r="L12">
        <v>-1.916709</v>
      </c>
      <c r="M12">
        <v>2.083291</v>
      </c>
      <c r="N12">
        <v>2.0439720000000001</v>
      </c>
      <c r="O12" t="s">
        <v>61</v>
      </c>
    </row>
    <row r="13" spans="1:15" x14ac:dyDescent="0.3">
      <c r="A13" t="s">
        <v>10</v>
      </c>
      <c r="B13">
        <v>3</v>
      </c>
      <c r="C13">
        <v>1</v>
      </c>
      <c r="D13">
        <v>0.62</v>
      </c>
      <c r="E13">
        <v>-0.49</v>
      </c>
      <c r="F13">
        <v>1</v>
      </c>
      <c r="G13">
        <v>0.29223399999999999</v>
      </c>
      <c r="H13">
        <v>7.9506999999999994E-2</v>
      </c>
      <c r="I13">
        <v>0</v>
      </c>
      <c r="J13">
        <v>-0.28560000000000002</v>
      </c>
      <c r="K13">
        <v>-1.916709</v>
      </c>
      <c r="L13">
        <v>-0.49800100000000003</v>
      </c>
      <c r="M13">
        <v>1.4187069999999999</v>
      </c>
      <c r="N13">
        <v>1.8712029999999999</v>
      </c>
      <c r="O13" t="s">
        <v>62</v>
      </c>
    </row>
    <row r="14" spans="1:15" x14ac:dyDescent="0.3">
      <c r="A14" t="s">
        <v>10</v>
      </c>
      <c r="B14">
        <v>4</v>
      </c>
      <c r="C14">
        <v>3</v>
      </c>
      <c r="D14">
        <v>0.55000000000000004</v>
      </c>
      <c r="E14">
        <v>-0.28999999999999998</v>
      </c>
      <c r="F14">
        <v>0</v>
      </c>
      <c r="G14">
        <v>0.47143099999999999</v>
      </c>
      <c r="H14">
        <v>7.5378000000000001E-2</v>
      </c>
      <c r="I14">
        <v>5.0000000000000004E-6</v>
      </c>
      <c r="J14">
        <v>-0.38363000000000003</v>
      </c>
      <c r="K14">
        <v>-0.49800100000000003</v>
      </c>
      <c r="L14">
        <v>-1.1907719999999999</v>
      </c>
      <c r="M14">
        <v>-0.69277100000000003</v>
      </c>
      <c r="N14">
        <v>1.6145210000000001</v>
      </c>
      <c r="O14" t="s">
        <v>63</v>
      </c>
    </row>
    <row r="15" spans="1:15" x14ac:dyDescent="0.3">
      <c r="A15" t="s">
        <v>10</v>
      </c>
      <c r="B15">
        <v>5</v>
      </c>
      <c r="C15">
        <v>9</v>
      </c>
      <c r="D15">
        <v>0.51</v>
      </c>
      <c r="E15">
        <v>-0.92</v>
      </c>
      <c r="F15">
        <v>1</v>
      </c>
      <c r="G15">
        <v>0.46553099999999997</v>
      </c>
      <c r="H15">
        <v>6.4715999999999996E-2</v>
      </c>
      <c r="I15">
        <v>3.0000000000000001E-6</v>
      </c>
      <c r="J15">
        <v>-0.42902099999999999</v>
      </c>
      <c r="K15">
        <v>-1.1907719999999999</v>
      </c>
      <c r="L15">
        <v>-0.57203000000000004</v>
      </c>
      <c r="M15">
        <v>0.61874300000000004</v>
      </c>
      <c r="N15">
        <v>1.5267250000000001</v>
      </c>
      <c r="O15" t="s">
        <v>64</v>
      </c>
    </row>
    <row r="16" spans="1:15" x14ac:dyDescent="0.3">
      <c r="A16" t="s">
        <v>10</v>
      </c>
      <c r="B16">
        <v>6</v>
      </c>
      <c r="C16">
        <v>5</v>
      </c>
      <c r="D16">
        <v>0.48</v>
      </c>
      <c r="E16">
        <v>-0.69</v>
      </c>
      <c r="F16">
        <v>1</v>
      </c>
      <c r="G16">
        <v>0.51415299999999997</v>
      </c>
      <c r="H16">
        <v>5.7554000000000001E-2</v>
      </c>
      <c r="I16">
        <v>7.9999999999999996E-6</v>
      </c>
      <c r="J16">
        <v>-0.45505699999999999</v>
      </c>
      <c r="K16">
        <v>-0.57203000000000004</v>
      </c>
      <c r="L16">
        <v>-7.7882999999999994E-2</v>
      </c>
      <c r="M16">
        <v>0.494147</v>
      </c>
      <c r="N16">
        <v>1.4824079999999999</v>
      </c>
      <c r="O16" t="s">
        <v>65</v>
      </c>
    </row>
    <row r="17" spans="1:15" x14ac:dyDescent="0.3">
      <c r="A17" t="s">
        <v>10</v>
      </c>
      <c r="B17">
        <v>7</v>
      </c>
      <c r="C17">
        <v>6</v>
      </c>
      <c r="D17">
        <v>0.33</v>
      </c>
      <c r="E17">
        <v>0.28999999999999998</v>
      </c>
      <c r="F17">
        <v>0</v>
      </c>
      <c r="G17">
        <v>0.46968700000000002</v>
      </c>
      <c r="H17">
        <v>2.7125E-2</v>
      </c>
      <c r="I17">
        <v>1.9999999999999999E-6</v>
      </c>
      <c r="J17">
        <v>-0.50355700000000003</v>
      </c>
      <c r="K17">
        <v>-7.7882999999999994E-2</v>
      </c>
      <c r="L17">
        <v>-0.39207700000000001</v>
      </c>
      <c r="M17">
        <v>-0.31419399999999997</v>
      </c>
      <c r="N17">
        <v>1.409211</v>
      </c>
      <c r="O17" t="s">
        <v>66</v>
      </c>
    </row>
    <row r="18" spans="1:15" x14ac:dyDescent="0.3">
      <c r="A18" t="s">
        <v>10</v>
      </c>
      <c r="B18">
        <v>8</v>
      </c>
      <c r="C18">
        <v>2</v>
      </c>
      <c r="D18">
        <v>0.31</v>
      </c>
      <c r="E18">
        <v>1.1599999999999999</v>
      </c>
      <c r="F18">
        <v>0</v>
      </c>
      <c r="G18">
        <v>0.38198199999999999</v>
      </c>
      <c r="H18">
        <v>2.2686000000000001E-2</v>
      </c>
      <c r="I18">
        <v>0</v>
      </c>
      <c r="J18">
        <v>-0.53755600000000003</v>
      </c>
      <c r="K18">
        <v>-0.39207700000000001</v>
      </c>
      <c r="L18">
        <v>-0.61459600000000003</v>
      </c>
      <c r="M18">
        <v>-0.22251899999999999</v>
      </c>
      <c r="N18">
        <v>1.363918</v>
      </c>
      <c r="O18" t="s">
        <v>67</v>
      </c>
    </row>
    <row r="19" spans="1:15" x14ac:dyDescent="0.3">
      <c r="A19" t="s">
        <v>10</v>
      </c>
      <c r="B19">
        <v>9</v>
      </c>
      <c r="C19">
        <v>4</v>
      </c>
      <c r="D19">
        <v>0.27</v>
      </c>
      <c r="E19">
        <v>1.45</v>
      </c>
      <c r="F19">
        <v>1</v>
      </c>
      <c r="G19">
        <v>0.36414000000000002</v>
      </c>
      <c r="H19">
        <v>1.6879000000000002E-2</v>
      </c>
      <c r="I19">
        <v>9.9999999999999995E-7</v>
      </c>
      <c r="J19">
        <v>-0.537968</v>
      </c>
      <c r="K19">
        <v>-0.61459600000000003</v>
      </c>
      <c r="L19">
        <v>-0.30056500000000003</v>
      </c>
      <c r="M19">
        <v>0.314031</v>
      </c>
      <c r="N19">
        <v>1.3633949999999999</v>
      </c>
      <c r="O19" t="s">
        <v>68</v>
      </c>
    </row>
    <row r="20" spans="1:15" x14ac:dyDescent="0.3">
      <c r="A20" t="s">
        <v>11</v>
      </c>
      <c r="B20">
        <v>1</v>
      </c>
      <c r="C20">
        <v>7</v>
      </c>
      <c r="D20">
        <v>0.71</v>
      </c>
      <c r="E20">
        <v>-0.92</v>
      </c>
      <c r="F20">
        <v>0</v>
      </c>
      <c r="G20">
        <v>0.65773099999999995</v>
      </c>
      <c r="H20">
        <v>0.113483</v>
      </c>
      <c r="I20">
        <v>-7.1668999999999997E-2</v>
      </c>
      <c r="J20">
        <v>-4.5747999999999997E-2</v>
      </c>
      <c r="K20">
        <v>0</v>
      </c>
      <c r="L20">
        <v>-4</v>
      </c>
      <c r="M20">
        <v>-4</v>
      </c>
      <c r="N20">
        <v>4.6753229999999997</v>
      </c>
      <c r="O20">
        <v>7</v>
      </c>
    </row>
    <row r="21" spans="1:15" x14ac:dyDescent="0.3">
      <c r="A21" t="s">
        <v>11</v>
      </c>
      <c r="B21">
        <v>2</v>
      </c>
      <c r="C21">
        <v>8</v>
      </c>
      <c r="D21">
        <v>0.78</v>
      </c>
      <c r="E21">
        <v>-3</v>
      </c>
      <c r="F21">
        <v>1</v>
      </c>
      <c r="G21">
        <v>0.31431999999999999</v>
      </c>
      <c r="H21">
        <v>0.13112399999999999</v>
      </c>
      <c r="I21">
        <v>1.9999999999999999E-6</v>
      </c>
      <c r="J21">
        <v>-0.23935899999999999</v>
      </c>
      <c r="K21">
        <v>-4</v>
      </c>
      <c r="L21">
        <v>-1.916709</v>
      </c>
      <c r="M21">
        <v>2.083291</v>
      </c>
      <c r="N21">
        <v>2.0439720000000001</v>
      </c>
      <c r="O21" t="s">
        <v>61</v>
      </c>
    </row>
    <row r="22" spans="1:15" x14ac:dyDescent="0.3">
      <c r="A22" t="s">
        <v>11</v>
      </c>
      <c r="B22">
        <v>3</v>
      </c>
      <c r="C22">
        <v>1</v>
      </c>
      <c r="D22">
        <v>0.62</v>
      </c>
      <c r="E22">
        <v>-0.49</v>
      </c>
      <c r="F22">
        <v>0</v>
      </c>
      <c r="G22">
        <v>0.29223399999999999</v>
      </c>
      <c r="H22">
        <v>7.9506999999999994E-2</v>
      </c>
      <c r="I22">
        <v>-9.9999999999999995E-7</v>
      </c>
      <c r="J22">
        <v>-0.30678499999999997</v>
      </c>
      <c r="K22">
        <v>-1.916709</v>
      </c>
      <c r="L22">
        <v>-2.4935239999999999</v>
      </c>
      <c r="M22">
        <v>-0.57681499999999997</v>
      </c>
      <c r="N22">
        <v>1.8054399999999999</v>
      </c>
      <c r="O22" t="s">
        <v>62</v>
      </c>
    </row>
    <row r="23" spans="1:15" x14ac:dyDescent="0.3">
      <c r="A23" t="s">
        <v>11</v>
      </c>
      <c r="B23">
        <v>4</v>
      </c>
      <c r="C23">
        <v>9</v>
      </c>
      <c r="D23">
        <v>0.51</v>
      </c>
      <c r="E23">
        <v>-0.92</v>
      </c>
      <c r="F23">
        <v>0</v>
      </c>
      <c r="G23">
        <v>0.30949199999999999</v>
      </c>
      <c r="H23">
        <v>5.5585000000000002E-2</v>
      </c>
      <c r="I23">
        <v>-6.9999999999999999E-6</v>
      </c>
      <c r="J23">
        <v>-0.337173</v>
      </c>
      <c r="K23">
        <v>-2.4935239999999999</v>
      </c>
      <c r="L23">
        <v>-2.9437679999999999</v>
      </c>
      <c r="M23">
        <v>-0.45024399999999998</v>
      </c>
      <c r="N23">
        <v>1.722164</v>
      </c>
      <c r="O23" t="s">
        <v>69</v>
      </c>
    </row>
    <row r="24" spans="1:15" x14ac:dyDescent="0.3">
      <c r="A24" t="s">
        <v>11</v>
      </c>
      <c r="B24">
        <v>5</v>
      </c>
      <c r="C24">
        <v>3</v>
      </c>
      <c r="D24">
        <v>0.55000000000000004</v>
      </c>
      <c r="E24">
        <v>-0.28999999999999998</v>
      </c>
      <c r="F24">
        <v>0</v>
      </c>
      <c r="G24">
        <v>0.18853300000000001</v>
      </c>
      <c r="H24">
        <v>4.6279000000000001E-2</v>
      </c>
      <c r="I24">
        <v>-3.9999999999999998E-6</v>
      </c>
      <c r="J24">
        <v>-0.35899199999999998</v>
      </c>
      <c r="K24">
        <v>-2.9437679999999999</v>
      </c>
      <c r="L24">
        <v>-3.2229130000000001</v>
      </c>
      <c r="M24">
        <v>-0.27914499999999998</v>
      </c>
      <c r="N24">
        <v>1.669006</v>
      </c>
      <c r="O24" t="s">
        <v>70</v>
      </c>
    </row>
    <row r="25" spans="1:15" x14ac:dyDescent="0.3">
      <c r="A25" t="s">
        <v>11</v>
      </c>
      <c r="B25">
        <v>6</v>
      </c>
      <c r="C25">
        <v>5</v>
      </c>
      <c r="D25">
        <v>0.48</v>
      </c>
      <c r="E25">
        <v>-0.69</v>
      </c>
      <c r="F25">
        <v>0</v>
      </c>
      <c r="G25">
        <v>0.22867699999999999</v>
      </c>
      <c r="H25">
        <v>4.0639000000000002E-2</v>
      </c>
      <c r="I25">
        <v>-6.9999999999999999E-6</v>
      </c>
      <c r="J25">
        <v>-0.36891499999999999</v>
      </c>
      <c r="K25">
        <v>-3.2229130000000001</v>
      </c>
      <c r="L25">
        <v>-3.5084140000000001</v>
      </c>
      <c r="M25">
        <v>-0.285501</v>
      </c>
      <c r="N25">
        <v>1.6464110000000001</v>
      </c>
      <c r="O25" t="s">
        <v>71</v>
      </c>
    </row>
    <row r="26" spans="1:15" x14ac:dyDescent="0.3">
      <c r="A26" t="s">
        <v>11</v>
      </c>
      <c r="B26">
        <v>7</v>
      </c>
      <c r="C26">
        <v>6</v>
      </c>
      <c r="D26">
        <v>0.33</v>
      </c>
      <c r="E26">
        <v>0.28999999999999998</v>
      </c>
      <c r="F26">
        <v>1</v>
      </c>
      <c r="G26">
        <v>0.22209899999999999</v>
      </c>
      <c r="H26">
        <v>1.8814999999999998E-2</v>
      </c>
      <c r="I26">
        <v>0</v>
      </c>
      <c r="J26">
        <v>-0.45203500000000002</v>
      </c>
      <c r="K26">
        <v>-3.5084140000000001</v>
      </c>
      <c r="L26">
        <v>-2.8985889999999999</v>
      </c>
      <c r="M26">
        <v>0.60982499999999995</v>
      </c>
      <c r="N26">
        <v>1.4873529999999999</v>
      </c>
      <c r="O26" t="s">
        <v>72</v>
      </c>
    </row>
    <row r="27" spans="1:15" x14ac:dyDescent="0.3">
      <c r="A27" t="s">
        <v>11</v>
      </c>
      <c r="B27">
        <v>8</v>
      </c>
      <c r="C27">
        <v>2</v>
      </c>
      <c r="D27">
        <v>0.31</v>
      </c>
      <c r="E27">
        <v>1.1599999999999999</v>
      </c>
      <c r="F27">
        <v>0</v>
      </c>
      <c r="G27">
        <v>0.22128999999999999</v>
      </c>
      <c r="H27">
        <v>1.6559999999999998E-2</v>
      </c>
      <c r="I27">
        <v>0</v>
      </c>
      <c r="J27">
        <v>-0.453737</v>
      </c>
      <c r="K27">
        <v>-2.8985889999999999</v>
      </c>
      <c r="L27">
        <v>-3.0473170000000001</v>
      </c>
      <c r="M27">
        <v>-0.148728</v>
      </c>
      <c r="N27">
        <v>1.484561</v>
      </c>
      <c r="O27" t="s">
        <v>73</v>
      </c>
    </row>
    <row r="28" spans="1:15" x14ac:dyDescent="0.3">
      <c r="A28" t="s">
        <v>11</v>
      </c>
      <c r="B28">
        <v>9</v>
      </c>
      <c r="C28">
        <v>4</v>
      </c>
      <c r="D28">
        <v>0.27</v>
      </c>
      <c r="E28">
        <v>1.45</v>
      </c>
      <c r="F28">
        <v>0</v>
      </c>
      <c r="G28">
        <v>0.22894500000000001</v>
      </c>
      <c r="H28">
        <v>1.2869E-2</v>
      </c>
      <c r="I28">
        <v>0</v>
      </c>
      <c r="J28">
        <v>-0.45213999999999999</v>
      </c>
      <c r="K28">
        <v>-3.0473170000000001</v>
      </c>
      <c r="L28">
        <v>-3.1818650000000002</v>
      </c>
      <c r="M28">
        <v>-0.134548</v>
      </c>
      <c r="N28">
        <v>1.4871810000000001</v>
      </c>
      <c r="O28" t="s">
        <v>74</v>
      </c>
    </row>
    <row r="29" spans="1:15" x14ac:dyDescent="0.3">
      <c r="A29" t="s">
        <v>12</v>
      </c>
      <c r="B29">
        <v>1</v>
      </c>
      <c r="C29">
        <v>7</v>
      </c>
      <c r="D29">
        <v>0.71</v>
      </c>
      <c r="E29">
        <v>-0.92</v>
      </c>
      <c r="F29">
        <v>1</v>
      </c>
      <c r="G29">
        <v>0.65773099999999995</v>
      </c>
      <c r="H29">
        <v>0.113483</v>
      </c>
      <c r="I29">
        <v>2.0948999999999999E-2</v>
      </c>
      <c r="J29">
        <v>-1.4435E-2</v>
      </c>
      <c r="K29">
        <v>0</v>
      </c>
      <c r="L29">
        <v>4</v>
      </c>
      <c r="M29">
        <v>4</v>
      </c>
      <c r="N29">
        <v>8.3231490000000008</v>
      </c>
      <c r="O29">
        <v>7</v>
      </c>
    </row>
    <row r="30" spans="1:15" x14ac:dyDescent="0.3">
      <c r="A30" t="s">
        <v>12</v>
      </c>
      <c r="B30">
        <v>2</v>
      </c>
      <c r="C30">
        <v>3</v>
      </c>
      <c r="D30">
        <v>0.55000000000000004</v>
      </c>
      <c r="E30">
        <v>-0.28999999999999998</v>
      </c>
      <c r="F30">
        <v>0</v>
      </c>
      <c r="G30">
        <v>0.913686</v>
      </c>
      <c r="H30">
        <v>2.3855999999999999E-2</v>
      </c>
      <c r="I30">
        <v>0.57507200000000003</v>
      </c>
      <c r="J30">
        <v>-7.6538999999999996E-2</v>
      </c>
      <c r="K30">
        <v>4</v>
      </c>
      <c r="L30">
        <v>3.5134439999999998</v>
      </c>
      <c r="M30">
        <v>-0.48655599999999999</v>
      </c>
      <c r="N30">
        <v>4.4950190000000001</v>
      </c>
      <c r="O30" t="s">
        <v>52</v>
      </c>
    </row>
    <row r="31" spans="1:15" x14ac:dyDescent="0.3">
      <c r="A31" t="s">
        <v>12</v>
      </c>
      <c r="B31">
        <v>3</v>
      </c>
      <c r="C31">
        <v>1</v>
      </c>
      <c r="D31">
        <v>0.62</v>
      </c>
      <c r="E31">
        <v>-0.49</v>
      </c>
      <c r="F31">
        <v>0</v>
      </c>
      <c r="G31">
        <v>0.92288000000000003</v>
      </c>
      <c r="H31">
        <v>2.7359000000000001E-2</v>
      </c>
      <c r="I31">
        <v>-9.9999999999999995E-7</v>
      </c>
      <c r="J31">
        <v>-0.27976000000000001</v>
      </c>
      <c r="K31">
        <v>3.5134439999999998</v>
      </c>
      <c r="L31">
        <v>-1.412334</v>
      </c>
      <c r="M31">
        <v>-4.9257780000000002</v>
      </c>
      <c r="N31">
        <v>1.890633</v>
      </c>
      <c r="O31" t="s">
        <v>53</v>
      </c>
    </row>
    <row r="32" spans="1:15" x14ac:dyDescent="0.3">
      <c r="A32" t="s">
        <v>12</v>
      </c>
      <c r="B32">
        <v>4</v>
      </c>
      <c r="C32">
        <v>8</v>
      </c>
      <c r="D32">
        <v>0.78</v>
      </c>
      <c r="E32">
        <v>-3</v>
      </c>
      <c r="F32">
        <v>0</v>
      </c>
      <c r="G32">
        <v>0.77528200000000003</v>
      </c>
      <c r="H32">
        <v>0.10599500000000001</v>
      </c>
      <c r="I32">
        <v>0</v>
      </c>
      <c r="J32">
        <v>-0.32433800000000002</v>
      </c>
      <c r="K32">
        <v>-1.412334</v>
      </c>
      <c r="L32">
        <v>-3.0646179999999998</v>
      </c>
      <c r="M32">
        <v>-1.6522829999999999</v>
      </c>
      <c r="N32">
        <v>1.755905</v>
      </c>
      <c r="O32" t="s">
        <v>75</v>
      </c>
    </row>
    <row r="33" spans="1:15" x14ac:dyDescent="0.3">
      <c r="A33" t="s">
        <v>12</v>
      </c>
      <c r="B33">
        <v>5</v>
      </c>
      <c r="C33">
        <v>9</v>
      </c>
      <c r="D33">
        <v>0.51</v>
      </c>
      <c r="E33">
        <v>-0.92</v>
      </c>
      <c r="F33">
        <v>1</v>
      </c>
      <c r="G33">
        <v>0.25091200000000002</v>
      </c>
      <c r="H33">
        <v>4.8887E-2</v>
      </c>
      <c r="I33">
        <v>0</v>
      </c>
      <c r="J33">
        <v>-0.43466900000000003</v>
      </c>
      <c r="K33">
        <v>-3.0646179999999998</v>
      </c>
      <c r="L33">
        <v>-2.1271689999999999</v>
      </c>
      <c r="M33">
        <v>0.93744899999999998</v>
      </c>
      <c r="N33">
        <v>1.5167740000000001</v>
      </c>
      <c r="O33" t="s">
        <v>76</v>
      </c>
    </row>
    <row r="34" spans="1:15" x14ac:dyDescent="0.3">
      <c r="A34" t="s">
        <v>12</v>
      </c>
      <c r="B34">
        <v>6</v>
      </c>
      <c r="C34">
        <v>5</v>
      </c>
      <c r="D34">
        <v>0.48</v>
      </c>
      <c r="E34">
        <v>-0.69</v>
      </c>
      <c r="F34">
        <v>1</v>
      </c>
      <c r="G34">
        <v>0.33406799999999998</v>
      </c>
      <c r="H34">
        <v>5.1256000000000003E-2</v>
      </c>
      <c r="I34">
        <v>-9.9999999999999995E-7</v>
      </c>
      <c r="J34">
        <v>-0.50514800000000004</v>
      </c>
      <c r="K34">
        <v>-2.1271689999999999</v>
      </c>
      <c r="L34">
        <v>-1.4849019999999999</v>
      </c>
      <c r="M34">
        <v>0.64226700000000003</v>
      </c>
      <c r="N34">
        <v>1.406989</v>
      </c>
      <c r="O34" t="s">
        <v>77</v>
      </c>
    </row>
    <row r="35" spans="1:15" x14ac:dyDescent="0.3">
      <c r="A35" t="s">
        <v>12</v>
      </c>
      <c r="B35">
        <v>7</v>
      </c>
      <c r="C35">
        <v>6</v>
      </c>
      <c r="D35">
        <v>0.33</v>
      </c>
      <c r="E35">
        <v>0.28999999999999998</v>
      </c>
      <c r="F35">
        <v>0</v>
      </c>
      <c r="G35">
        <v>0.35761799999999999</v>
      </c>
      <c r="H35">
        <v>2.5017000000000001E-2</v>
      </c>
      <c r="I35">
        <v>0</v>
      </c>
      <c r="J35">
        <v>-0.52586900000000003</v>
      </c>
      <c r="K35">
        <v>-1.4849019999999999</v>
      </c>
      <c r="L35">
        <v>-1.708291</v>
      </c>
      <c r="M35">
        <v>-0.223389</v>
      </c>
      <c r="N35">
        <v>1.3789899999999999</v>
      </c>
      <c r="O35" t="s">
        <v>78</v>
      </c>
    </row>
    <row r="36" spans="1:15" x14ac:dyDescent="0.3">
      <c r="A36" t="s">
        <v>12</v>
      </c>
      <c r="B36">
        <v>8</v>
      </c>
      <c r="C36">
        <v>2</v>
      </c>
      <c r="D36">
        <v>0.31</v>
      </c>
      <c r="E36">
        <v>1.1599999999999999</v>
      </c>
      <c r="F36">
        <v>0</v>
      </c>
      <c r="G36">
        <v>0.29128100000000001</v>
      </c>
      <c r="H36">
        <v>1.9838999999999999E-2</v>
      </c>
      <c r="I36">
        <v>0</v>
      </c>
      <c r="J36">
        <v>-0.53998599999999997</v>
      </c>
      <c r="K36">
        <v>-1.708291</v>
      </c>
      <c r="L36">
        <v>-1.8745860000000001</v>
      </c>
      <c r="M36">
        <v>-0.166295</v>
      </c>
      <c r="N36">
        <v>1.360846</v>
      </c>
      <c r="O36" t="s">
        <v>79</v>
      </c>
    </row>
    <row r="37" spans="1:15" x14ac:dyDescent="0.3">
      <c r="A37" t="s">
        <v>12</v>
      </c>
      <c r="B37">
        <v>9</v>
      </c>
      <c r="C37">
        <v>4</v>
      </c>
      <c r="D37">
        <v>0.27</v>
      </c>
      <c r="E37">
        <v>1.45</v>
      </c>
      <c r="F37">
        <v>0</v>
      </c>
      <c r="G37">
        <v>0.28953600000000002</v>
      </c>
      <c r="H37">
        <v>1.4996000000000001E-2</v>
      </c>
      <c r="I37">
        <v>0</v>
      </c>
      <c r="J37">
        <v>-0.54848200000000003</v>
      </c>
      <c r="K37">
        <v>-1.8745860000000001</v>
      </c>
      <c r="L37">
        <v>-2.0162490000000002</v>
      </c>
      <c r="M37">
        <v>-0.14166300000000001</v>
      </c>
      <c r="N37">
        <v>1.3502639999999999</v>
      </c>
      <c r="O37" t="s">
        <v>80</v>
      </c>
    </row>
    <row r="38" spans="1:15" x14ac:dyDescent="0.3">
      <c r="A38" t="s">
        <v>13</v>
      </c>
      <c r="B38">
        <v>1</v>
      </c>
      <c r="C38">
        <v>7</v>
      </c>
      <c r="D38">
        <v>0.71</v>
      </c>
      <c r="E38">
        <v>-0.92</v>
      </c>
      <c r="F38">
        <v>0</v>
      </c>
      <c r="G38">
        <v>0.65773099999999995</v>
      </c>
      <c r="H38">
        <v>0.113483</v>
      </c>
      <c r="I38">
        <v>-7.1668999999999997E-2</v>
      </c>
      <c r="J38">
        <v>-4.5747999999999997E-2</v>
      </c>
      <c r="K38">
        <v>0</v>
      </c>
      <c r="L38">
        <v>-4</v>
      </c>
      <c r="M38">
        <v>-4</v>
      </c>
      <c r="N38">
        <v>4.6753229999999997</v>
      </c>
      <c r="O38">
        <v>7</v>
      </c>
    </row>
    <row r="39" spans="1:15" x14ac:dyDescent="0.3">
      <c r="A39" t="s">
        <v>13</v>
      </c>
      <c r="B39">
        <v>2</v>
      </c>
      <c r="C39">
        <v>8</v>
      </c>
      <c r="D39">
        <v>0.78</v>
      </c>
      <c r="E39">
        <v>-3</v>
      </c>
      <c r="F39">
        <v>1</v>
      </c>
      <c r="G39">
        <v>0.31431999999999999</v>
      </c>
      <c r="H39">
        <v>0.13112399999999999</v>
      </c>
      <c r="I39">
        <v>1.9999999999999999E-6</v>
      </c>
      <c r="J39">
        <v>-0.23935899999999999</v>
      </c>
      <c r="K39">
        <v>-4</v>
      </c>
      <c r="L39">
        <v>-1.916709</v>
      </c>
      <c r="M39">
        <v>2.083291</v>
      </c>
      <c r="N39">
        <v>2.0439720000000001</v>
      </c>
      <c r="O39" t="s">
        <v>61</v>
      </c>
    </row>
    <row r="40" spans="1:15" x14ac:dyDescent="0.3">
      <c r="A40" t="s">
        <v>13</v>
      </c>
      <c r="B40">
        <v>3</v>
      </c>
      <c r="C40">
        <v>1</v>
      </c>
      <c r="D40">
        <v>0.62</v>
      </c>
      <c r="E40">
        <v>-0.49</v>
      </c>
      <c r="F40">
        <v>1</v>
      </c>
      <c r="G40">
        <v>0.29223399999999999</v>
      </c>
      <c r="H40">
        <v>7.9506999999999994E-2</v>
      </c>
      <c r="I40">
        <v>0</v>
      </c>
      <c r="J40">
        <v>-0.28560000000000002</v>
      </c>
      <c r="K40">
        <v>-1.916709</v>
      </c>
      <c r="L40">
        <v>-0.49800100000000003</v>
      </c>
      <c r="M40">
        <v>1.4187069999999999</v>
      </c>
      <c r="N40">
        <v>1.8712029999999999</v>
      </c>
      <c r="O40" t="s">
        <v>62</v>
      </c>
    </row>
    <row r="41" spans="1:15" x14ac:dyDescent="0.3">
      <c r="A41" t="s">
        <v>13</v>
      </c>
      <c r="B41">
        <v>4</v>
      </c>
      <c r="C41">
        <v>3</v>
      </c>
      <c r="D41">
        <v>0.55000000000000004</v>
      </c>
      <c r="E41">
        <v>-0.28999999999999998</v>
      </c>
      <c r="F41">
        <v>0</v>
      </c>
      <c r="G41">
        <v>0.47143099999999999</v>
      </c>
      <c r="H41">
        <v>7.5378000000000001E-2</v>
      </c>
      <c r="I41">
        <v>5.0000000000000004E-6</v>
      </c>
      <c r="J41">
        <v>-0.38363000000000003</v>
      </c>
      <c r="K41">
        <v>-0.49800100000000003</v>
      </c>
      <c r="L41">
        <v>-1.1907719999999999</v>
      </c>
      <c r="M41">
        <v>-0.69277100000000003</v>
      </c>
      <c r="N41">
        <v>1.6145210000000001</v>
      </c>
      <c r="O41" t="s">
        <v>63</v>
      </c>
    </row>
    <row r="42" spans="1:15" x14ac:dyDescent="0.3">
      <c r="A42" t="s">
        <v>13</v>
      </c>
      <c r="B42">
        <v>5</v>
      </c>
      <c r="C42">
        <v>9</v>
      </c>
      <c r="D42">
        <v>0.51</v>
      </c>
      <c r="E42">
        <v>-0.92</v>
      </c>
      <c r="F42">
        <v>0</v>
      </c>
      <c r="G42">
        <v>0.46553099999999997</v>
      </c>
      <c r="H42">
        <v>6.4715999999999996E-2</v>
      </c>
      <c r="I42">
        <v>0</v>
      </c>
      <c r="J42">
        <v>-0.446907</v>
      </c>
      <c r="K42">
        <v>-1.1907719999999999</v>
      </c>
      <c r="L42">
        <v>-1.7195370000000001</v>
      </c>
      <c r="M42">
        <v>-0.52876500000000004</v>
      </c>
      <c r="N42">
        <v>1.4958610000000001</v>
      </c>
      <c r="O42" t="s">
        <v>64</v>
      </c>
    </row>
    <row r="43" spans="1:15" x14ac:dyDescent="0.3">
      <c r="A43" t="s">
        <v>13</v>
      </c>
      <c r="B43">
        <v>6</v>
      </c>
      <c r="C43">
        <v>5</v>
      </c>
      <c r="D43">
        <v>0.48</v>
      </c>
      <c r="E43">
        <v>-0.69</v>
      </c>
      <c r="F43">
        <v>1</v>
      </c>
      <c r="G43">
        <v>0.37891000000000002</v>
      </c>
      <c r="H43">
        <v>5.4221999999999999E-2</v>
      </c>
      <c r="I43">
        <v>0</v>
      </c>
      <c r="J43">
        <v>-0.50438899999999998</v>
      </c>
      <c r="K43">
        <v>-1.7195370000000001</v>
      </c>
      <c r="L43">
        <v>-1.1287929999999999</v>
      </c>
      <c r="M43">
        <v>0.59074400000000005</v>
      </c>
      <c r="N43">
        <v>1.408047</v>
      </c>
      <c r="O43" t="s">
        <v>65</v>
      </c>
    </row>
    <row r="44" spans="1:15" x14ac:dyDescent="0.3">
      <c r="A44" t="s">
        <v>13</v>
      </c>
      <c r="B44">
        <v>7</v>
      </c>
      <c r="C44">
        <v>6</v>
      </c>
      <c r="D44">
        <v>0.33</v>
      </c>
      <c r="E44">
        <v>0.28999999999999998</v>
      </c>
      <c r="F44">
        <v>0</v>
      </c>
      <c r="G44">
        <v>0.385042</v>
      </c>
      <c r="H44">
        <v>2.5786E-2</v>
      </c>
      <c r="I44">
        <v>0</v>
      </c>
      <c r="J44">
        <v>-0.53110299999999999</v>
      </c>
      <c r="K44">
        <v>-1.1287929999999999</v>
      </c>
      <c r="L44">
        <v>-1.3681030000000001</v>
      </c>
      <c r="M44">
        <v>-0.23930999999999999</v>
      </c>
      <c r="N44">
        <v>1.372179</v>
      </c>
      <c r="O44" t="s">
        <v>66</v>
      </c>
    </row>
    <row r="45" spans="1:15" x14ac:dyDescent="0.3">
      <c r="A45" t="s">
        <v>13</v>
      </c>
      <c r="B45">
        <v>8</v>
      </c>
      <c r="C45">
        <v>2</v>
      </c>
      <c r="D45">
        <v>0.31</v>
      </c>
      <c r="E45">
        <v>1.1599999999999999</v>
      </c>
      <c r="F45">
        <v>0</v>
      </c>
      <c r="G45">
        <v>0.31352000000000002</v>
      </c>
      <c r="H45">
        <v>2.0683E-2</v>
      </c>
      <c r="I45">
        <v>0</v>
      </c>
      <c r="J45">
        <v>-0.54959000000000002</v>
      </c>
      <c r="K45">
        <v>-1.3681030000000001</v>
      </c>
      <c r="L45">
        <v>-1.5445390000000001</v>
      </c>
      <c r="M45">
        <v>-0.17643500000000001</v>
      </c>
      <c r="N45">
        <v>1.348902</v>
      </c>
      <c r="O45" t="s">
        <v>67</v>
      </c>
    </row>
    <row r="46" spans="1:15" x14ac:dyDescent="0.3">
      <c r="A46" t="s">
        <v>13</v>
      </c>
      <c r="B46">
        <v>9</v>
      </c>
      <c r="C46">
        <v>4</v>
      </c>
      <c r="D46">
        <v>0.27</v>
      </c>
      <c r="E46">
        <v>1.45</v>
      </c>
      <c r="F46">
        <v>0</v>
      </c>
      <c r="G46">
        <v>0.30820500000000001</v>
      </c>
      <c r="H46">
        <v>1.5543E-2</v>
      </c>
      <c r="I46">
        <v>0</v>
      </c>
      <c r="J46">
        <v>-0.56146799999999997</v>
      </c>
      <c r="K46">
        <v>-1.5445390000000001</v>
      </c>
      <c r="L46">
        <v>-1.6922349999999999</v>
      </c>
      <c r="M46">
        <v>-0.14769599999999999</v>
      </c>
      <c r="N46">
        <v>1.3345579999999999</v>
      </c>
      <c r="O46" t="s">
        <v>68</v>
      </c>
    </row>
    <row r="47" spans="1:15" x14ac:dyDescent="0.3">
      <c r="A47" t="s">
        <v>14</v>
      </c>
      <c r="B47">
        <v>1</v>
      </c>
      <c r="C47">
        <v>7</v>
      </c>
      <c r="D47">
        <v>0.71</v>
      </c>
      <c r="E47">
        <v>-0.92</v>
      </c>
      <c r="F47">
        <v>1</v>
      </c>
      <c r="G47">
        <v>0.65773099999999995</v>
      </c>
      <c r="H47">
        <v>0.113483</v>
      </c>
      <c r="I47">
        <v>2.0948999999999999E-2</v>
      </c>
      <c r="J47">
        <v>-1.4435E-2</v>
      </c>
      <c r="K47">
        <v>0</v>
      </c>
      <c r="L47">
        <v>4</v>
      </c>
      <c r="M47">
        <v>4</v>
      </c>
      <c r="N47">
        <v>8.3231490000000008</v>
      </c>
      <c r="O47">
        <v>7</v>
      </c>
    </row>
    <row r="48" spans="1:15" x14ac:dyDescent="0.3">
      <c r="A48" t="s">
        <v>14</v>
      </c>
      <c r="B48">
        <v>2</v>
      </c>
      <c r="C48">
        <v>3</v>
      </c>
      <c r="D48">
        <v>0.55000000000000004</v>
      </c>
      <c r="E48">
        <v>-0.28999999999999998</v>
      </c>
      <c r="F48">
        <v>1</v>
      </c>
      <c r="G48">
        <v>0.913686</v>
      </c>
      <c r="H48">
        <v>2.3855999999999999E-2</v>
      </c>
      <c r="I48">
        <v>6.8421999999999997E-2</v>
      </c>
      <c r="J48">
        <v>-3.8290999999999999E-2</v>
      </c>
      <c r="K48">
        <v>4</v>
      </c>
      <c r="L48">
        <v>4</v>
      </c>
      <c r="M48">
        <v>0</v>
      </c>
      <c r="N48">
        <v>5.1103290000000001</v>
      </c>
      <c r="O48" t="s">
        <v>52</v>
      </c>
    </row>
    <row r="49" spans="1:15" x14ac:dyDescent="0.3">
      <c r="A49" t="s">
        <v>14</v>
      </c>
      <c r="B49">
        <v>3</v>
      </c>
      <c r="C49">
        <v>1</v>
      </c>
      <c r="D49">
        <v>0.62</v>
      </c>
      <c r="E49">
        <v>-0.49</v>
      </c>
      <c r="F49">
        <v>1</v>
      </c>
      <c r="G49">
        <v>0.94179400000000002</v>
      </c>
      <c r="H49">
        <v>2.1072E-2</v>
      </c>
      <c r="I49">
        <v>0.10451000000000001</v>
      </c>
      <c r="J49">
        <v>-5.9364E-2</v>
      </c>
      <c r="K49">
        <v>4</v>
      </c>
      <c r="L49">
        <v>4</v>
      </c>
      <c r="M49">
        <v>0</v>
      </c>
      <c r="N49">
        <v>4.1043099999999999</v>
      </c>
      <c r="O49" t="s">
        <v>53</v>
      </c>
    </row>
    <row r="50" spans="1:15" x14ac:dyDescent="0.3">
      <c r="A50" t="s">
        <v>14</v>
      </c>
      <c r="B50">
        <v>4</v>
      </c>
      <c r="C50">
        <v>2</v>
      </c>
      <c r="D50">
        <v>0.31</v>
      </c>
      <c r="E50">
        <v>1.1599999999999999</v>
      </c>
      <c r="F50">
        <v>1</v>
      </c>
      <c r="G50">
        <v>0.70690500000000001</v>
      </c>
      <c r="H50">
        <v>1.9911000000000002E-2</v>
      </c>
      <c r="I50">
        <v>0.19536899999999999</v>
      </c>
      <c r="J50">
        <v>-7.9274999999999998E-2</v>
      </c>
      <c r="K50">
        <v>4</v>
      </c>
      <c r="L50">
        <v>4</v>
      </c>
      <c r="M50">
        <v>0</v>
      </c>
      <c r="N50">
        <v>3.5516749999999999</v>
      </c>
      <c r="O50" t="s">
        <v>54</v>
      </c>
    </row>
    <row r="51" spans="1:15" x14ac:dyDescent="0.3">
      <c r="A51" t="s">
        <v>14</v>
      </c>
      <c r="B51">
        <v>5</v>
      </c>
      <c r="C51">
        <v>5</v>
      </c>
      <c r="D51">
        <v>0.48</v>
      </c>
      <c r="E51">
        <v>-0.69</v>
      </c>
      <c r="F51">
        <v>0</v>
      </c>
      <c r="G51">
        <v>0.90475399999999995</v>
      </c>
      <c r="H51">
        <v>1.9855000000000001E-2</v>
      </c>
      <c r="I51">
        <v>0</v>
      </c>
      <c r="J51">
        <v>-0.19561899999999999</v>
      </c>
      <c r="K51">
        <v>4</v>
      </c>
      <c r="L51">
        <v>2.3292950000000001</v>
      </c>
      <c r="M51">
        <v>-1.6707050000000001</v>
      </c>
      <c r="N51">
        <v>2.2609710000000001</v>
      </c>
      <c r="O51" t="s">
        <v>55</v>
      </c>
    </row>
    <row r="52" spans="1:15" x14ac:dyDescent="0.3">
      <c r="A52" t="s">
        <v>14</v>
      </c>
      <c r="B52">
        <v>6</v>
      </c>
      <c r="C52">
        <v>9</v>
      </c>
      <c r="D52">
        <v>0.51</v>
      </c>
      <c r="E52">
        <v>-0.92</v>
      </c>
      <c r="F52">
        <v>1</v>
      </c>
      <c r="G52">
        <v>0.83985399999999999</v>
      </c>
      <c r="H52">
        <v>3.4983E-2</v>
      </c>
      <c r="I52">
        <v>0</v>
      </c>
      <c r="J52">
        <v>-0.19958400000000001</v>
      </c>
      <c r="K52">
        <v>2.3292950000000001</v>
      </c>
      <c r="L52">
        <v>2.7094260000000001</v>
      </c>
      <c r="M52">
        <v>0.380131</v>
      </c>
      <c r="N52">
        <v>2.2383959999999998</v>
      </c>
      <c r="O52" t="s">
        <v>56</v>
      </c>
    </row>
    <row r="53" spans="1:15" x14ac:dyDescent="0.3">
      <c r="A53" t="s">
        <v>14</v>
      </c>
      <c r="B53">
        <v>7</v>
      </c>
      <c r="C53">
        <v>6</v>
      </c>
      <c r="D53">
        <v>0.33</v>
      </c>
      <c r="E53">
        <v>0.28999999999999998</v>
      </c>
      <c r="F53">
        <v>0</v>
      </c>
      <c r="G53">
        <v>0.68963399999999997</v>
      </c>
      <c r="H53">
        <v>2.3309E-2</v>
      </c>
      <c r="I53">
        <v>9.9999999999999995E-7</v>
      </c>
      <c r="J53">
        <v>-0.30000300000000002</v>
      </c>
      <c r="K53">
        <v>2.7094260000000001</v>
      </c>
      <c r="L53">
        <v>1.8356889999999999</v>
      </c>
      <c r="M53">
        <v>-0.87373699999999999</v>
      </c>
      <c r="N53">
        <v>1.825734</v>
      </c>
      <c r="O53" t="s">
        <v>57</v>
      </c>
    </row>
    <row r="54" spans="1:15" x14ac:dyDescent="0.3">
      <c r="A54" t="s">
        <v>14</v>
      </c>
      <c r="B54">
        <v>8</v>
      </c>
      <c r="C54">
        <v>4</v>
      </c>
      <c r="D54">
        <v>0.27</v>
      </c>
      <c r="E54">
        <v>1.45</v>
      </c>
      <c r="F54">
        <v>0</v>
      </c>
      <c r="G54">
        <v>0.52600999999999998</v>
      </c>
      <c r="H54">
        <v>1.8176000000000001E-2</v>
      </c>
      <c r="I54">
        <v>3.1999999999999999E-5</v>
      </c>
      <c r="J54">
        <v>-0.35805700000000001</v>
      </c>
      <c r="K54">
        <v>1.8356889999999999</v>
      </c>
      <c r="L54">
        <v>1.4156200000000001</v>
      </c>
      <c r="M54">
        <v>-0.42006900000000003</v>
      </c>
      <c r="N54">
        <v>1.671203</v>
      </c>
      <c r="O54" t="s">
        <v>81</v>
      </c>
    </row>
    <row r="55" spans="1:15" x14ac:dyDescent="0.3">
      <c r="A55" t="s">
        <v>14</v>
      </c>
      <c r="B55">
        <v>9</v>
      </c>
      <c r="C55">
        <v>8</v>
      </c>
      <c r="D55">
        <v>0.78</v>
      </c>
      <c r="E55">
        <v>-3</v>
      </c>
      <c r="F55">
        <v>1</v>
      </c>
      <c r="G55">
        <v>0.96905699999999995</v>
      </c>
      <c r="H55">
        <v>1.8242999999999999E-2</v>
      </c>
      <c r="I55">
        <v>0</v>
      </c>
      <c r="J55">
        <v>-0.36930299999999999</v>
      </c>
      <c r="K55">
        <v>1.4156200000000001</v>
      </c>
      <c r="L55">
        <v>1.480362</v>
      </c>
      <c r="M55">
        <v>6.4741999999999994E-2</v>
      </c>
      <c r="N55">
        <v>1.6455420000000001</v>
      </c>
      <c r="O55" t="s">
        <v>82</v>
      </c>
    </row>
    <row r="56" spans="1:15" x14ac:dyDescent="0.3">
      <c r="A56" t="s">
        <v>15</v>
      </c>
      <c r="B56">
        <v>1</v>
      </c>
      <c r="C56">
        <v>7</v>
      </c>
      <c r="D56">
        <v>0.71</v>
      </c>
      <c r="E56">
        <v>-0.92</v>
      </c>
      <c r="F56">
        <v>1</v>
      </c>
      <c r="G56">
        <v>0.65773099999999995</v>
      </c>
      <c r="H56">
        <v>0.113483</v>
      </c>
      <c r="I56">
        <v>2.0948999999999999E-2</v>
      </c>
      <c r="J56">
        <v>-1.4435E-2</v>
      </c>
      <c r="K56">
        <v>0</v>
      </c>
      <c r="L56">
        <v>4</v>
      </c>
      <c r="M56">
        <v>4</v>
      </c>
      <c r="N56">
        <v>8.3231490000000008</v>
      </c>
      <c r="O56">
        <v>7</v>
      </c>
    </row>
    <row r="57" spans="1:15" x14ac:dyDescent="0.3">
      <c r="A57" t="s">
        <v>15</v>
      </c>
      <c r="B57">
        <v>2</v>
      </c>
      <c r="C57">
        <v>3</v>
      </c>
      <c r="D57">
        <v>0.55000000000000004</v>
      </c>
      <c r="E57">
        <v>-0.28999999999999998</v>
      </c>
      <c r="F57">
        <v>1</v>
      </c>
      <c r="G57">
        <v>0.913686</v>
      </c>
      <c r="H57">
        <v>2.3855999999999999E-2</v>
      </c>
      <c r="I57">
        <v>6.8421999999999997E-2</v>
      </c>
      <c r="J57">
        <v>-3.8290999999999999E-2</v>
      </c>
      <c r="K57">
        <v>4</v>
      </c>
      <c r="L57">
        <v>4</v>
      </c>
      <c r="M57">
        <v>0</v>
      </c>
      <c r="N57">
        <v>5.1103290000000001</v>
      </c>
      <c r="O57" t="s">
        <v>52</v>
      </c>
    </row>
    <row r="58" spans="1:15" x14ac:dyDescent="0.3">
      <c r="A58" t="s">
        <v>15</v>
      </c>
      <c r="B58">
        <v>3</v>
      </c>
      <c r="C58">
        <v>1</v>
      </c>
      <c r="D58">
        <v>0.62</v>
      </c>
      <c r="E58">
        <v>-0.49</v>
      </c>
      <c r="F58">
        <v>1</v>
      </c>
      <c r="G58">
        <v>0.94179400000000002</v>
      </c>
      <c r="H58">
        <v>2.1072E-2</v>
      </c>
      <c r="I58">
        <v>0.10451000000000001</v>
      </c>
      <c r="J58">
        <v>-5.9364E-2</v>
      </c>
      <c r="K58">
        <v>4</v>
      </c>
      <c r="L58">
        <v>4</v>
      </c>
      <c r="M58">
        <v>0</v>
      </c>
      <c r="N58">
        <v>4.1043099999999999</v>
      </c>
      <c r="O58" t="s">
        <v>53</v>
      </c>
    </row>
    <row r="59" spans="1:15" x14ac:dyDescent="0.3">
      <c r="A59" t="s">
        <v>15</v>
      </c>
      <c r="B59">
        <v>4</v>
      </c>
      <c r="C59">
        <v>2</v>
      </c>
      <c r="D59">
        <v>0.31</v>
      </c>
      <c r="E59">
        <v>1.1599999999999999</v>
      </c>
      <c r="F59">
        <v>1</v>
      </c>
      <c r="G59">
        <v>0.70690500000000001</v>
      </c>
      <c r="H59">
        <v>1.9911000000000002E-2</v>
      </c>
      <c r="I59">
        <v>0.19536899999999999</v>
      </c>
      <c r="J59">
        <v>-7.9274999999999998E-2</v>
      </c>
      <c r="K59">
        <v>4</v>
      </c>
      <c r="L59">
        <v>4</v>
      </c>
      <c r="M59">
        <v>0</v>
      </c>
      <c r="N59">
        <v>3.5516749999999999</v>
      </c>
      <c r="O59" t="s">
        <v>54</v>
      </c>
    </row>
    <row r="60" spans="1:15" x14ac:dyDescent="0.3">
      <c r="A60" t="s">
        <v>15</v>
      </c>
      <c r="B60">
        <v>5</v>
      </c>
      <c r="C60">
        <v>5</v>
      </c>
      <c r="D60">
        <v>0.48</v>
      </c>
      <c r="E60">
        <v>-0.69</v>
      </c>
      <c r="F60">
        <v>1</v>
      </c>
      <c r="G60">
        <v>0.90475399999999995</v>
      </c>
      <c r="H60">
        <v>1.9855000000000001E-2</v>
      </c>
      <c r="I60">
        <v>0.241087</v>
      </c>
      <c r="J60">
        <v>-9.9128999999999995E-2</v>
      </c>
      <c r="K60">
        <v>4</v>
      </c>
      <c r="L60">
        <v>4</v>
      </c>
      <c r="M60">
        <v>0</v>
      </c>
      <c r="N60">
        <v>3.176139</v>
      </c>
      <c r="O60" t="s">
        <v>55</v>
      </c>
    </row>
    <row r="61" spans="1:15" x14ac:dyDescent="0.3">
      <c r="A61" t="s">
        <v>15</v>
      </c>
      <c r="B61">
        <v>6</v>
      </c>
      <c r="C61">
        <v>6</v>
      </c>
      <c r="D61">
        <v>0.33</v>
      </c>
      <c r="E61">
        <v>0.28999999999999998</v>
      </c>
      <c r="F61">
        <v>1</v>
      </c>
      <c r="G61">
        <v>0.77281900000000003</v>
      </c>
      <c r="H61">
        <v>1.9120000000000002E-2</v>
      </c>
      <c r="I61">
        <v>0.31605699999999998</v>
      </c>
      <c r="J61">
        <v>-0.11824900000000001</v>
      </c>
      <c r="K61">
        <v>4</v>
      </c>
      <c r="L61">
        <v>4</v>
      </c>
      <c r="M61">
        <v>0</v>
      </c>
      <c r="N61">
        <v>2.9080509999999999</v>
      </c>
      <c r="O61" t="s">
        <v>83</v>
      </c>
    </row>
    <row r="62" spans="1:15" x14ac:dyDescent="0.3">
      <c r="A62" t="s">
        <v>15</v>
      </c>
      <c r="B62">
        <v>7</v>
      </c>
      <c r="C62">
        <v>9</v>
      </c>
      <c r="D62">
        <v>0.51</v>
      </c>
      <c r="E62">
        <v>-0.92</v>
      </c>
      <c r="F62">
        <v>1</v>
      </c>
      <c r="G62">
        <v>0.92478400000000005</v>
      </c>
      <c r="H62">
        <v>1.8092E-2</v>
      </c>
      <c r="I62">
        <v>0.35441699999999998</v>
      </c>
      <c r="J62">
        <v>-0.13634099999999999</v>
      </c>
      <c r="K62">
        <v>4</v>
      </c>
      <c r="L62">
        <v>4</v>
      </c>
      <c r="M62">
        <v>0</v>
      </c>
      <c r="N62">
        <v>2.7082410000000001</v>
      </c>
      <c r="O62" t="s">
        <v>84</v>
      </c>
    </row>
    <row r="63" spans="1:15" x14ac:dyDescent="0.3">
      <c r="A63" t="s">
        <v>15</v>
      </c>
      <c r="B63">
        <v>8</v>
      </c>
      <c r="C63">
        <v>4</v>
      </c>
      <c r="D63">
        <v>0.27</v>
      </c>
      <c r="E63">
        <v>1.45</v>
      </c>
      <c r="F63">
        <v>1</v>
      </c>
      <c r="G63">
        <v>0.66563300000000003</v>
      </c>
      <c r="H63">
        <v>1.6225E-2</v>
      </c>
      <c r="I63">
        <v>0.44469599999999998</v>
      </c>
      <c r="J63">
        <v>-0.15256600000000001</v>
      </c>
      <c r="K63">
        <v>4</v>
      </c>
      <c r="L63">
        <v>4</v>
      </c>
      <c r="M63">
        <v>0</v>
      </c>
      <c r="N63">
        <v>2.5601859999999999</v>
      </c>
      <c r="O63" t="s">
        <v>85</v>
      </c>
    </row>
    <row r="64" spans="1:15" x14ac:dyDescent="0.3">
      <c r="A64" t="s">
        <v>15</v>
      </c>
      <c r="B64">
        <v>9</v>
      </c>
      <c r="C64">
        <v>8</v>
      </c>
      <c r="D64">
        <v>0.78</v>
      </c>
      <c r="E64">
        <v>-3</v>
      </c>
      <c r="F64">
        <v>1</v>
      </c>
      <c r="G64">
        <v>0.99576399999999998</v>
      </c>
      <c r="H64">
        <v>2.5660000000000001E-3</v>
      </c>
      <c r="I64">
        <v>0.44800000000000001</v>
      </c>
      <c r="J64">
        <v>-0.15513199999999999</v>
      </c>
      <c r="K64">
        <v>4</v>
      </c>
      <c r="L64">
        <v>4</v>
      </c>
      <c r="M64">
        <v>0</v>
      </c>
      <c r="N64">
        <v>2.5389240000000002</v>
      </c>
      <c r="O64" t="s">
        <v>86</v>
      </c>
    </row>
    <row r="65" spans="1:15" x14ac:dyDescent="0.3">
      <c r="A65" t="s">
        <v>16</v>
      </c>
      <c r="B65">
        <v>1</v>
      </c>
      <c r="C65">
        <v>7</v>
      </c>
      <c r="D65">
        <v>0.71</v>
      </c>
      <c r="E65">
        <v>-0.92</v>
      </c>
      <c r="F65">
        <v>1</v>
      </c>
      <c r="G65">
        <v>0.65773099999999995</v>
      </c>
      <c r="H65">
        <v>0.113483</v>
      </c>
      <c r="I65">
        <v>2.0948999999999999E-2</v>
      </c>
      <c r="J65">
        <v>-1.4435E-2</v>
      </c>
      <c r="K65">
        <v>0</v>
      </c>
      <c r="L65">
        <v>4</v>
      </c>
      <c r="M65">
        <v>4</v>
      </c>
      <c r="N65">
        <v>8.3231490000000008</v>
      </c>
      <c r="O65">
        <v>7</v>
      </c>
    </row>
    <row r="66" spans="1:15" x14ac:dyDescent="0.3">
      <c r="A66" t="s">
        <v>16</v>
      </c>
      <c r="B66">
        <v>2</v>
      </c>
      <c r="C66">
        <v>3</v>
      </c>
      <c r="D66">
        <v>0.55000000000000004</v>
      </c>
      <c r="E66">
        <v>-0.28999999999999998</v>
      </c>
      <c r="F66">
        <v>1</v>
      </c>
      <c r="G66">
        <v>0.913686</v>
      </c>
      <c r="H66">
        <v>2.3855999999999999E-2</v>
      </c>
      <c r="I66">
        <v>6.8421999999999997E-2</v>
      </c>
      <c r="J66">
        <v>-3.8290999999999999E-2</v>
      </c>
      <c r="K66">
        <v>4</v>
      </c>
      <c r="L66">
        <v>4</v>
      </c>
      <c r="M66">
        <v>0</v>
      </c>
      <c r="N66">
        <v>5.1103290000000001</v>
      </c>
      <c r="O66" t="s">
        <v>52</v>
      </c>
    </row>
    <row r="67" spans="1:15" x14ac:dyDescent="0.3">
      <c r="A67" t="s">
        <v>16</v>
      </c>
      <c r="B67">
        <v>3</v>
      </c>
      <c r="C67">
        <v>1</v>
      </c>
      <c r="D67">
        <v>0.62</v>
      </c>
      <c r="E67">
        <v>-0.49</v>
      </c>
      <c r="F67">
        <v>1</v>
      </c>
      <c r="G67">
        <v>0.94179400000000002</v>
      </c>
      <c r="H67">
        <v>2.1072E-2</v>
      </c>
      <c r="I67">
        <v>0.10451000000000001</v>
      </c>
      <c r="J67">
        <v>-5.9364E-2</v>
      </c>
      <c r="K67">
        <v>4</v>
      </c>
      <c r="L67">
        <v>4</v>
      </c>
      <c r="M67">
        <v>0</v>
      </c>
      <c r="N67">
        <v>4.1043099999999999</v>
      </c>
      <c r="O67" t="s">
        <v>53</v>
      </c>
    </row>
    <row r="68" spans="1:15" x14ac:dyDescent="0.3">
      <c r="A68" t="s">
        <v>16</v>
      </c>
      <c r="B68">
        <v>4</v>
      </c>
      <c r="C68">
        <v>2</v>
      </c>
      <c r="D68">
        <v>0.31</v>
      </c>
      <c r="E68">
        <v>1.1599999999999999</v>
      </c>
      <c r="F68">
        <v>0</v>
      </c>
      <c r="G68">
        <v>0.70690500000000001</v>
      </c>
      <c r="H68">
        <v>1.9911000000000002E-2</v>
      </c>
      <c r="I68">
        <v>1.1E-5</v>
      </c>
      <c r="J68">
        <v>-0.12837200000000001</v>
      </c>
      <c r="K68">
        <v>4</v>
      </c>
      <c r="L68">
        <v>2.8767510000000001</v>
      </c>
      <c r="M68">
        <v>-1.1232489999999999</v>
      </c>
      <c r="N68">
        <v>2.791083</v>
      </c>
      <c r="O68" t="s">
        <v>54</v>
      </c>
    </row>
    <row r="69" spans="1:15" x14ac:dyDescent="0.3">
      <c r="A69" t="s">
        <v>16</v>
      </c>
      <c r="B69">
        <v>5</v>
      </c>
      <c r="C69">
        <v>5</v>
      </c>
      <c r="D69">
        <v>0.48</v>
      </c>
      <c r="E69">
        <v>-0.69</v>
      </c>
      <c r="F69">
        <v>0</v>
      </c>
      <c r="G69">
        <v>0.84710099999999999</v>
      </c>
      <c r="H69">
        <v>2.9842E-2</v>
      </c>
      <c r="I69">
        <v>0</v>
      </c>
      <c r="J69">
        <v>-0.29505799999999999</v>
      </c>
      <c r="K69">
        <v>2.8767510000000001</v>
      </c>
      <c r="L69">
        <v>1.0628059999999999</v>
      </c>
      <c r="M69">
        <v>-1.8139449999999999</v>
      </c>
      <c r="N69">
        <v>1.8409690000000001</v>
      </c>
      <c r="O69" t="s">
        <v>55</v>
      </c>
    </row>
    <row r="70" spans="1:15" x14ac:dyDescent="0.3">
      <c r="A70" t="s">
        <v>16</v>
      </c>
      <c r="B70">
        <v>6</v>
      </c>
      <c r="C70">
        <v>9</v>
      </c>
      <c r="D70">
        <v>0.51</v>
      </c>
      <c r="E70">
        <v>-0.92</v>
      </c>
      <c r="F70">
        <v>1</v>
      </c>
      <c r="G70">
        <v>0.73326100000000005</v>
      </c>
      <c r="H70">
        <v>5.0873000000000002E-2</v>
      </c>
      <c r="I70">
        <v>2.4000000000000001E-5</v>
      </c>
      <c r="J70">
        <v>-0.30761699999999997</v>
      </c>
      <c r="K70">
        <v>1.0628059999999999</v>
      </c>
      <c r="L70">
        <v>1.4789589999999999</v>
      </c>
      <c r="M70">
        <v>0.416153</v>
      </c>
      <c r="N70">
        <v>1.8030170000000001</v>
      </c>
      <c r="O70" t="s">
        <v>56</v>
      </c>
    </row>
    <row r="71" spans="1:15" x14ac:dyDescent="0.3">
      <c r="A71" t="s">
        <v>16</v>
      </c>
      <c r="B71">
        <v>7</v>
      </c>
      <c r="C71">
        <v>6</v>
      </c>
      <c r="D71">
        <v>0.33</v>
      </c>
      <c r="E71">
        <v>0.28999999999999998</v>
      </c>
      <c r="F71">
        <v>1</v>
      </c>
      <c r="G71">
        <v>0.59684999999999999</v>
      </c>
      <c r="H71">
        <v>2.6204000000000002E-2</v>
      </c>
      <c r="I71">
        <v>0</v>
      </c>
      <c r="J71">
        <v>-0.29369000000000001</v>
      </c>
      <c r="K71">
        <v>1.4789589999999999</v>
      </c>
      <c r="L71">
        <v>1.903065</v>
      </c>
      <c r="M71">
        <v>0.42410500000000001</v>
      </c>
      <c r="N71">
        <v>1.8452519999999999</v>
      </c>
      <c r="O71" t="s">
        <v>57</v>
      </c>
    </row>
    <row r="72" spans="1:15" x14ac:dyDescent="0.3">
      <c r="A72" t="s">
        <v>16</v>
      </c>
      <c r="B72">
        <v>8</v>
      </c>
      <c r="C72">
        <v>4</v>
      </c>
      <c r="D72">
        <v>0.27</v>
      </c>
      <c r="E72">
        <v>1.45</v>
      </c>
      <c r="F72">
        <v>1</v>
      </c>
      <c r="G72">
        <v>0.53054400000000002</v>
      </c>
      <c r="H72">
        <v>1.8157E-2</v>
      </c>
      <c r="I72">
        <v>0</v>
      </c>
      <c r="J72">
        <v>-0.27221800000000002</v>
      </c>
      <c r="K72">
        <v>1.903065</v>
      </c>
      <c r="L72">
        <v>2.337399</v>
      </c>
      <c r="M72">
        <v>0.43433500000000003</v>
      </c>
      <c r="N72">
        <v>1.9166449999999999</v>
      </c>
      <c r="O72" t="s">
        <v>81</v>
      </c>
    </row>
    <row r="73" spans="1:15" x14ac:dyDescent="0.3">
      <c r="A73" t="s">
        <v>16</v>
      </c>
      <c r="B73">
        <v>9</v>
      </c>
      <c r="C73">
        <v>8</v>
      </c>
      <c r="D73">
        <v>0.78</v>
      </c>
      <c r="E73">
        <v>-3</v>
      </c>
      <c r="F73">
        <v>1</v>
      </c>
      <c r="G73">
        <v>0.98468</v>
      </c>
      <c r="H73">
        <v>9.1780000000000004E-3</v>
      </c>
      <c r="I73">
        <v>0</v>
      </c>
      <c r="J73">
        <v>-0.27734500000000001</v>
      </c>
      <c r="K73">
        <v>2.337399</v>
      </c>
      <c r="L73">
        <v>2.3801730000000001</v>
      </c>
      <c r="M73">
        <v>4.2772999999999999E-2</v>
      </c>
      <c r="N73">
        <v>1.8988480000000001</v>
      </c>
      <c r="O73" t="s">
        <v>82</v>
      </c>
    </row>
    <row r="74" spans="1:15" x14ac:dyDescent="0.3">
      <c r="A74" t="s">
        <v>17</v>
      </c>
      <c r="B74">
        <v>1</v>
      </c>
      <c r="C74">
        <v>7</v>
      </c>
      <c r="D74">
        <v>0.71</v>
      </c>
      <c r="E74">
        <v>-0.92</v>
      </c>
      <c r="F74">
        <v>1</v>
      </c>
      <c r="G74">
        <v>0.65773099999999995</v>
      </c>
      <c r="H74">
        <v>0.113483</v>
      </c>
      <c r="I74">
        <v>2.0948999999999999E-2</v>
      </c>
      <c r="J74">
        <v>-1.4435E-2</v>
      </c>
      <c r="K74">
        <v>0</v>
      </c>
      <c r="L74">
        <v>4</v>
      </c>
      <c r="M74">
        <v>4</v>
      </c>
      <c r="N74">
        <v>8.3231490000000008</v>
      </c>
      <c r="O74">
        <v>7</v>
      </c>
    </row>
    <row r="75" spans="1:15" x14ac:dyDescent="0.3">
      <c r="A75" t="s">
        <v>17</v>
      </c>
      <c r="B75">
        <v>2</v>
      </c>
      <c r="C75">
        <v>3</v>
      </c>
      <c r="D75">
        <v>0.55000000000000004</v>
      </c>
      <c r="E75">
        <v>-0.28999999999999998</v>
      </c>
      <c r="F75">
        <v>0</v>
      </c>
      <c r="G75">
        <v>0.913686</v>
      </c>
      <c r="H75">
        <v>2.3855999999999999E-2</v>
      </c>
      <c r="I75">
        <v>0.57507200000000003</v>
      </c>
      <c r="J75">
        <v>-7.6538999999999996E-2</v>
      </c>
      <c r="K75">
        <v>4</v>
      </c>
      <c r="L75">
        <v>3.5134439999999998</v>
      </c>
      <c r="M75">
        <v>-0.48655599999999999</v>
      </c>
      <c r="N75">
        <v>4.4950190000000001</v>
      </c>
      <c r="O75" t="s">
        <v>52</v>
      </c>
    </row>
    <row r="76" spans="1:15" x14ac:dyDescent="0.3">
      <c r="A76" t="s">
        <v>17</v>
      </c>
      <c r="B76">
        <v>3</v>
      </c>
      <c r="C76">
        <v>1</v>
      </c>
      <c r="D76">
        <v>0.62</v>
      </c>
      <c r="E76">
        <v>-0.49</v>
      </c>
      <c r="F76">
        <v>0</v>
      </c>
      <c r="G76">
        <v>0.92288000000000003</v>
      </c>
      <c r="H76">
        <v>2.7359000000000001E-2</v>
      </c>
      <c r="I76">
        <v>-9.9999999999999995E-7</v>
      </c>
      <c r="J76">
        <v>-0.27976000000000001</v>
      </c>
      <c r="K76">
        <v>3.5134439999999998</v>
      </c>
      <c r="L76">
        <v>-1.412334</v>
      </c>
      <c r="M76">
        <v>-4.9257780000000002</v>
      </c>
      <c r="N76">
        <v>1.890633</v>
      </c>
      <c r="O76" t="s">
        <v>53</v>
      </c>
    </row>
    <row r="77" spans="1:15" x14ac:dyDescent="0.3">
      <c r="A77" t="s">
        <v>17</v>
      </c>
      <c r="B77">
        <v>4</v>
      </c>
      <c r="C77">
        <v>8</v>
      </c>
      <c r="D77">
        <v>0.78</v>
      </c>
      <c r="E77">
        <v>-3</v>
      </c>
      <c r="F77">
        <v>1</v>
      </c>
      <c r="G77">
        <v>0.77528200000000003</v>
      </c>
      <c r="H77">
        <v>0.10599500000000001</v>
      </c>
      <c r="I77">
        <v>0</v>
      </c>
      <c r="J77">
        <v>-0.37858999999999998</v>
      </c>
      <c r="K77">
        <v>-1.412334</v>
      </c>
      <c r="L77">
        <v>-0.95476700000000003</v>
      </c>
      <c r="M77">
        <v>0.45756799999999997</v>
      </c>
      <c r="N77">
        <v>1.625232</v>
      </c>
      <c r="O77" t="s">
        <v>75</v>
      </c>
    </row>
    <row r="78" spans="1:15" x14ac:dyDescent="0.3">
      <c r="A78" t="s">
        <v>17</v>
      </c>
      <c r="B78">
        <v>5</v>
      </c>
      <c r="C78">
        <v>9</v>
      </c>
      <c r="D78">
        <v>0.51</v>
      </c>
      <c r="E78">
        <v>-0.92</v>
      </c>
      <c r="F78">
        <v>0</v>
      </c>
      <c r="G78">
        <v>0.49556699999999998</v>
      </c>
      <c r="H78">
        <v>6.5019999999999994E-2</v>
      </c>
      <c r="I78">
        <v>0</v>
      </c>
      <c r="J78">
        <v>-0.449407</v>
      </c>
      <c r="K78">
        <v>-0.95476700000000003</v>
      </c>
      <c r="L78">
        <v>-1.5188029999999999</v>
      </c>
      <c r="M78">
        <v>-0.56403599999999998</v>
      </c>
      <c r="N78">
        <v>1.491695</v>
      </c>
      <c r="O78" t="s">
        <v>76</v>
      </c>
    </row>
    <row r="79" spans="1:15" x14ac:dyDescent="0.3">
      <c r="A79" t="s">
        <v>17</v>
      </c>
      <c r="B79">
        <v>6</v>
      </c>
      <c r="C79">
        <v>5</v>
      </c>
      <c r="D79">
        <v>0.48</v>
      </c>
      <c r="E79">
        <v>-0.69</v>
      </c>
      <c r="F79">
        <v>0</v>
      </c>
      <c r="G79">
        <v>0.401835</v>
      </c>
      <c r="H79">
        <v>5.5379999999999999E-2</v>
      </c>
      <c r="I79">
        <v>0</v>
      </c>
      <c r="J79">
        <v>-0.49552099999999999</v>
      </c>
      <c r="K79">
        <v>-1.5188029999999999</v>
      </c>
      <c r="L79">
        <v>-1.903843</v>
      </c>
      <c r="M79">
        <v>-0.38503999999999999</v>
      </c>
      <c r="N79">
        <v>1.4205909999999999</v>
      </c>
      <c r="O79" t="s">
        <v>77</v>
      </c>
    </row>
    <row r="80" spans="1:15" x14ac:dyDescent="0.3">
      <c r="A80" t="s">
        <v>17</v>
      </c>
      <c r="B80">
        <v>7</v>
      </c>
      <c r="C80">
        <v>6</v>
      </c>
      <c r="D80">
        <v>0.33</v>
      </c>
      <c r="E80">
        <v>0.28999999999999998</v>
      </c>
      <c r="F80">
        <v>0</v>
      </c>
      <c r="G80">
        <v>0.32651999999999998</v>
      </c>
      <c r="H80">
        <v>2.3948000000000001E-2</v>
      </c>
      <c r="I80">
        <v>0</v>
      </c>
      <c r="J80">
        <v>-0.50997499999999996</v>
      </c>
      <c r="K80">
        <v>-1.903843</v>
      </c>
      <c r="L80">
        <v>-2.1130909999999998</v>
      </c>
      <c r="M80">
        <v>-0.20924799999999999</v>
      </c>
      <c r="N80">
        <v>1.400315</v>
      </c>
      <c r="O80" t="s">
        <v>78</v>
      </c>
    </row>
    <row r="81" spans="1:15" x14ac:dyDescent="0.3">
      <c r="A81" t="s">
        <v>17</v>
      </c>
      <c r="B81">
        <v>8</v>
      </c>
      <c r="C81">
        <v>2</v>
      </c>
      <c r="D81">
        <v>0.31</v>
      </c>
      <c r="E81">
        <v>1.1599999999999999</v>
      </c>
      <c r="F81">
        <v>0</v>
      </c>
      <c r="G81">
        <v>0.266069</v>
      </c>
      <c r="H81">
        <v>1.8766000000000001E-2</v>
      </c>
      <c r="I81">
        <v>0</v>
      </c>
      <c r="J81">
        <v>-0.519432</v>
      </c>
      <c r="K81">
        <v>-2.1130909999999998</v>
      </c>
      <c r="L81">
        <v>-2.2704360000000001</v>
      </c>
      <c r="M81">
        <v>-0.15734500000000001</v>
      </c>
      <c r="N81">
        <v>1.3875090000000001</v>
      </c>
      <c r="O81" t="s">
        <v>79</v>
      </c>
    </row>
    <row r="82" spans="1:15" x14ac:dyDescent="0.3">
      <c r="A82" t="s">
        <v>17</v>
      </c>
      <c r="B82">
        <v>9</v>
      </c>
      <c r="C82">
        <v>4</v>
      </c>
      <c r="D82">
        <v>0.27</v>
      </c>
      <c r="E82">
        <v>1.45</v>
      </c>
      <c r="F82">
        <v>0</v>
      </c>
      <c r="G82">
        <v>0.26805400000000001</v>
      </c>
      <c r="H82">
        <v>1.4303E-2</v>
      </c>
      <c r="I82">
        <v>0</v>
      </c>
      <c r="J82">
        <v>-0.52422100000000005</v>
      </c>
      <c r="K82">
        <v>-2.2704360000000001</v>
      </c>
      <c r="L82">
        <v>-2.4072330000000002</v>
      </c>
      <c r="M82">
        <v>-0.136797</v>
      </c>
      <c r="N82">
        <v>1.3811560000000001</v>
      </c>
      <c r="O82" t="s">
        <v>80</v>
      </c>
    </row>
    <row r="83" spans="1:15" x14ac:dyDescent="0.3">
      <c r="A83" t="s">
        <v>18</v>
      </c>
      <c r="B83">
        <v>1</v>
      </c>
      <c r="C83">
        <v>7</v>
      </c>
      <c r="D83">
        <v>0.71</v>
      </c>
      <c r="E83">
        <v>-0.92</v>
      </c>
      <c r="F83">
        <v>1</v>
      </c>
      <c r="G83">
        <v>0.65773099999999995</v>
      </c>
      <c r="H83">
        <v>0.113483</v>
      </c>
      <c r="I83">
        <v>2.0948999999999999E-2</v>
      </c>
      <c r="J83">
        <v>-1.4435E-2</v>
      </c>
      <c r="K83">
        <v>0</v>
      </c>
      <c r="L83">
        <v>4</v>
      </c>
      <c r="M83">
        <v>4</v>
      </c>
      <c r="N83">
        <v>8.3231490000000008</v>
      </c>
      <c r="O83">
        <v>7</v>
      </c>
    </row>
    <row r="84" spans="1:15" x14ac:dyDescent="0.3">
      <c r="A84" t="s">
        <v>18</v>
      </c>
      <c r="B84">
        <v>2</v>
      </c>
      <c r="C84">
        <v>3</v>
      </c>
      <c r="D84">
        <v>0.55000000000000004</v>
      </c>
      <c r="E84">
        <v>-0.28999999999999998</v>
      </c>
      <c r="F84">
        <v>1</v>
      </c>
      <c r="G84">
        <v>0.913686</v>
      </c>
      <c r="H84">
        <v>2.3855999999999999E-2</v>
      </c>
      <c r="I84">
        <v>6.8421999999999997E-2</v>
      </c>
      <c r="J84">
        <v>-3.8290999999999999E-2</v>
      </c>
      <c r="K84">
        <v>4</v>
      </c>
      <c r="L84">
        <v>4</v>
      </c>
      <c r="M84">
        <v>0</v>
      </c>
      <c r="N84">
        <v>5.1103290000000001</v>
      </c>
      <c r="O84" t="s">
        <v>52</v>
      </c>
    </row>
    <row r="85" spans="1:15" x14ac:dyDescent="0.3">
      <c r="A85" t="s">
        <v>18</v>
      </c>
      <c r="B85">
        <v>3</v>
      </c>
      <c r="C85">
        <v>1</v>
      </c>
      <c r="D85">
        <v>0.62</v>
      </c>
      <c r="E85">
        <v>-0.49</v>
      </c>
      <c r="F85">
        <v>1</v>
      </c>
      <c r="G85">
        <v>0.94179400000000002</v>
      </c>
      <c r="H85">
        <v>2.1072E-2</v>
      </c>
      <c r="I85">
        <v>0.10451000000000001</v>
      </c>
      <c r="J85">
        <v>-5.9364E-2</v>
      </c>
      <c r="K85">
        <v>4</v>
      </c>
      <c r="L85">
        <v>4</v>
      </c>
      <c r="M85">
        <v>0</v>
      </c>
      <c r="N85">
        <v>4.1043099999999999</v>
      </c>
      <c r="O85" t="s">
        <v>53</v>
      </c>
    </row>
    <row r="86" spans="1:15" x14ac:dyDescent="0.3">
      <c r="A86" t="s">
        <v>18</v>
      </c>
      <c r="B86">
        <v>4</v>
      </c>
      <c r="C86">
        <v>2</v>
      </c>
      <c r="D86">
        <v>0.31</v>
      </c>
      <c r="E86">
        <v>1.1599999999999999</v>
      </c>
      <c r="F86">
        <v>0</v>
      </c>
      <c r="G86">
        <v>0.70690500000000001</v>
      </c>
      <c r="H86">
        <v>1.9911000000000002E-2</v>
      </c>
      <c r="I86">
        <v>1.1E-5</v>
      </c>
      <c r="J86">
        <v>-0.12837200000000001</v>
      </c>
      <c r="K86">
        <v>4</v>
      </c>
      <c r="L86">
        <v>2.8767510000000001</v>
      </c>
      <c r="M86">
        <v>-1.1232489999999999</v>
      </c>
      <c r="N86">
        <v>2.791083</v>
      </c>
      <c r="O86" t="s">
        <v>54</v>
      </c>
    </row>
    <row r="87" spans="1:15" x14ac:dyDescent="0.3">
      <c r="A87" t="s">
        <v>18</v>
      </c>
      <c r="B87">
        <v>5</v>
      </c>
      <c r="C87">
        <v>5</v>
      </c>
      <c r="D87">
        <v>0.48</v>
      </c>
      <c r="E87">
        <v>-0.69</v>
      </c>
      <c r="F87">
        <v>1</v>
      </c>
      <c r="G87">
        <v>0.84710099999999999</v>
      </c>
      <c r="H87">
        <v>2.9842E-2</v>
      </c>
      <c r="I87">
        <v>0</v>
      </c>
      <c r="J87">
        <v>-0.128217</v>
      </c>
      <c r="K87">
        <v>2.8767510000000001</v>
      </c>
      <c r="L87">
        <v>3.3907440000000002</v>
      </c>
      <c r="M87">
        <v>0.51399300000000003</v>
      </c>
      <c r="N87">
        <v>2.7927170000000001</v>
      </c>
      <c r="O87" t="s">
        <v>55</v>
      </c>
    </row>
    <row r="88" spans="1:15" x14ac:dyDescent="0.3">
      <c r="A88" t="s">
        <v>18</v>
      </c>
      <c r="B88">
        <v>6</v>
      </c>
      <c r="C88">
        <v>9</v>
      </c>
      <c r="D88">
        <v>0.51</v>
      </c>
      <c r="E88">
        <v>-0.92</v>
      </c>
      <c r="F88">
        <v>1</v>
      </c>
      <c r="G88">
        <v>0.90011300000000005</v>
      </c>
      <c r="H88">
        <v>2.3386000000000001E-2</v>
      </c>
      <c r="I88">
        <v>0</v>
      </c>
      <c r="J88">
        <v>-0.13023100000000001</v>
      </c>
      <c r="K88">
        <v>3.3907440000000002</v>
      </c>
      <c r="L88">
        <v>3.7528540000000001</v>
      </c>
      <c r="M88">
        <v>0.36210999999999999</v>
      </c>
      <c r="N88">
        <v>2.7710430000000001</v>
      </c>
      <c r="O88" t="s">
        <v>56</v>
      </c>
    </row>
    <row r="89" spans="1:15" x14ac:dyDescent="0.3">
      <c r="A89" t="s">
        <v>18</v>
      </c>
      <c r="B89">
        <v>7</v>
      </c>
      <c r="C89">
        <v>6</v>
      </c>
      <c r="D89">
        <v>0.33</v>
      </c>
      <c r="E89">
        <v>0.28999999999999998</v>
      </c>
      <c r="F89">
        <v>1</v>
      </c>
      <c r="G89">
        <v>0.75818300000000005</v>
      </c>
      <c r="H89">
        <v>1.9966000000000001E-2</v>
      </c>
      <c r="I89">
        <v>4.4416999999999998E-2</v>
      </c>
      <c r="J89">
        <v>-0.13634099999999999</v>
      </c>
      <c r="K89">
        <v>3.7528540000000001</v>
      </c>
      <c r="L89">
        <v>4</v>
      </c>
      <c r="M89">
        <v>0.247146</v>
      </c>
      <c r="N89">
        <v>2.7082410000000001</v>
      </c>
      <c r="O89" t="s">
        <v>57</v>
      </c>
    </row>
    <row r="90" spans="1:15" x14ac:dyDescent="0.3">
      <c r="A90" t="s">
        <v>18</v>
      </c>
      <c r="B90">
        <v>8</v>
      </c>
      <c r="C90">
        <v>4</v>
      </c>
      <c r="D90">
        <v>0.27</v>
      </c>
      <c r="E90">
        <v>1.45</v>
      </c>
      <c r="F90">
        <v>0</v>
      </c>
      <c r="G90">
        <v>0.66563300000000003</v>
      </c>
      <c r="H90">
        <v>1.6225E-2</v>
      </c>
      <c r="I90">
        <v>0</v>
      </c>
      <c r="J90">
        <v>-0.20091700000000001</v>
      </c>
      <c r="K90">
        <v>4</v>
      </c>
      <c r="L90">
        <v>3.2300360000000001</v>
      </c>
      <c r="M90">
        <v>-0.76996399999999998</v>
      </c>
      <c r="N90">
        <v>2.2309610000000002</v>
      </c>
      <c r="O90" t="s">
        <v>81</v>
      </c>
    </row>
    <row r="91" spans="1:15" x14ac:dyDescent="0.3">
      <c r="A91" t="s">
        <v>18</v>
      </c>
      <c r="B91">
        <v>9</v>
      </c>
      <c r="C91">
        <v>8</v>
      </c>
      <c r="D91">
        <v>0.78</v>
      </c>
      <c r="E91">
        <v>-3</v>
      </c>
      <c r="F91">
        <v>1</v>
      </c>
      <c r="G91">
        <v>0.99230499999999999</v>
      </c>
      <c r="H91">
        <v>4.646E-3</v>
      </c>
      <c r="I91">
        <v>0</v>
      </c>
      <c r="J91">
        <v>-0.20338999999999999</v>
      </c>
      <c r="K91">
        <v>3.2300360000000001</v>
      </c>
      <c r="L91">
        <v>3.2593909999999999</v>
      </c>
      <c r="M91">
        <v>2.9354999999999999E-2</v>
      </c>
      <c r="N91">
        <v>2.2173560000000001</v>
      </c>
      <c r="O91" t="s">
        <v>82</v>
      </c>
    </row>
    <row r="92" spans="1:15" x14ac:dyDescent="0.3">
      <c r="A92" t="s">
        <v>19</v>
      </c>
      <c r="B92">
        <v>1</v>
      </c>
      <c r="C92">
        <v>7</v>
      </c>
      <c r="D92">
        <v>0.71</v>
      </c>
      <c r="E92">
        <v>-0.92</v>
      </c>
      <c r="F92">
        <v>1</v>
      </c>
      <c r="G92">
        <v>0.65773099999999995</v>
      </c>
      <c r="H92">
        <v>0.113483</v>
      </c>
      <c r="I92">
        <v>2.0948999999999999E-2</v>
      </c>
      <c r="J92">
        <v>-1.4435E-2</v>
      </c>
      <c r="K92">
        <v>0</v>
      </c>
      <c r="L92">
        <v>4</v>
      </c>
      <c r="M92">
        <v>4</v>
      </c>
      <c r="N92">
        <v>8.3231490000000008</v>
      </c>
      <c r="O92">
        <v>7</v>
      </c>
    </row>
    <row r="93" spans="1:15" x14ac:dyDescent="0.3">
      <c r="A93" t="s">
        <v>19</v>
      </c>
      <c r="B93">
        <v>2</v>
      </c>
      <c r="C93">
        <v>3</v>
      </c>
      <c r="D93">
        <v>0.55000000000000004</v>
      </c>
      <c r="E93">
        <v>-0.28999999999999998</v>
      </c>
      <c r="F93">
        <v>1</v>
      </c>
      <c r="G93">
        <v>0.913686</v>
      </c>
      <c r="H93">
        <v>2.3855999999999999E-2</v>
      </c>
      <c r="I93">
        <v>6.8421999999999997E-2</v>
      </c>
      <c r="J93">
        <v>-3.8290999999999999E-2</v>
      </c>
      <c r="K93">
        <v>4</v>
      </c>
      <c r="L93">
        <v>4</v>
      </c>
      <c r="M93">
        <v>0</v>
      </c>
      <c r="N93">
        <v>5.1103290000000001</v>
      </c>
      <c r="O93" t="s">
        <v>52</v>
      </c>
    </row>
    <row r="94" spans="1:15" x14ac:dyDescent="0.3">
      <c r="A94" t="s">
        <v>19</v>
      </c>
      <c r="B94">
        <v>3</v>
      </c>
      <c r="C94">
        <v>1</v>
      </c>
      <c r="D94">
        <v>0.62</v>
      </c>
      <c r="E94">
        <v>-0.49</v>
      </c>
      <c r="F94">
        <v>1</v>
      </c>
      <c r="G94">
        <v>0.94179400000000002</v>
      </c>
      <c r="H94">
        <v>2.1072E-2</v>
      </c>
      <c r="I94">
        <v>0.10451000000000001</v>
      </c>
      <c r="J94">
        <v>-5.9364E-2</v>
      </c>
      <c r="K94">
        <v>4</v>
      </c>
      <c r="L94">
        <v>4</v>
      </c>
      <c r="M94">
        <v>0</v>
      </c>
      <c r="N94">
        <v>4.1043099999999999</v>
      </c>
      <c r="O94" t="s">
        <v>53</v>
      </c>
    </row>
    <row r="95" spans="1:15" x14ac:dyDescent="0.3">
      <c r="A95" t="s">
        <v>19</v>
      </c>
      <c r="B95">
        <v>4</v>
      </c>
      <c r="C95">
        <v>2</v>
      </c>
      <c r="D95">
        <v>0.31</v>
      </c>
      <c r="E95">
        <v>1.1599999999999999</v>
      </c>
      <c r="F95">
        <v>1</v>
      </c>
      <c r="G95">
        <v>0.70690500000000001</v>
      </c>
      <c r="H95">
        <v>1.9911000000000002E-2</v>
      </c>
      <c r="I95">
        <v>0.19536899999999999</v>
      </c>
      <c r="J95">
        <v>-7.9274999999999998E-2</v>
      </c>
      <c r="K95">
        <v>4</v>
      </c>
      <c r="L95">
        <v>4</v>
      </c>
      <c r="M95">
        <v>0</v>
      </c>
      <c r="N95">
        <v>3.5516749999999999</v>
      </c>
      <c r="O95" t="s">
        <v>54</v>
      </c>
    </row>
    <row r="96" spans="1:15" x14ac:dyDescent="0.3">
      <c r="A96" t="s">
        <v>19</v>
      </c>
      <c r="B96">
        <v>5</v>
      </c>
      <c r="C96">
        <v>5</v>
      </c>
      <c r="D96">
        <v>0.48</v>
      </c>
      <c r="E96">
        <v>-0.69</v>
      </c>
      <c r="F96">
        <v>1</v>
      </c>
      <c r="G96">
        <v>0.90475399999999995</v>
      </c>
      <c r="H96">
        <v>1.9855000000000001E-2</v>
      </c>
      <c r="I96">
        <v>0.241087</v>
      </c>
      <c r="J96">
        <v>-9.9128999999999995E-2</v>
      </c>
      <c r="K96">
        <v>4</v>
      </c>
      <c r="L96">
        <v>4</v>
      </c>
      <c r="M96">
        <v>0</v>
      </c>
      <c r="N96">
        <v>3.176139</v>
      </c>
      <c r="O96" t="s">
        <v>55</v>
      </c>
    </row>
    <row r="97" spans="1:15" x14ac:dyDescent="0.3">
      <c r="A97" t="s">
        <v>19</v>
      </c>
      <c r="B97">
        <v>6</v>
      </c>
      <c r="C97">
        <v>6</v>
      </c>
      <c r="D97">
        <v>0.33</v>
      </c>
      <c r="E97">
        <v>0.28999999999999998</v>
      </c>
      <c r="F97">
        <v>1</v>
      </c>
      <c r="G97">
        <v>0.77281900000000003</v>
      </c>
      <c r="H97">
        <v>1.9120000000000002E-2</v>
      </c>
      <c r="I97">
        <v>0.31605699999999998</v>
      </c>
      <c r="J97">
        <v>-0.11824900000000001</v>
      </c>
      <c r="K97">
        <v>4</v>
      </c>
      <c r="L97">
        <v>4</v>
      </c>
      <c r="M97">
        <v>0</v>
      </c>
      <c r="N97">
        <v>2.9080509999999999</v>
      </c>
      <c r="O97" t="s">
        <v>83</v>
      </c>
    </row>
    <row r="98" spans="1:15" x14ac:dyDescent="0.3">
      <c r="A98" t="s">
        <v>19</v>
      </c>
      <c r="B98">
        <v>7</v>
      </c>
      <c r="C98">
        <v>9</v>
      </c>
      <c r="D98">
        <v>0.51</v>
      </c>
      <c r="E98">
        <v>-0.92</v>
      </c>
      <c r="F98">
        <v>1</v>
      </c>
      <c r="G98">
        <v>0.92478400000000005</v>
      </c>
      <c r="H98">
        <v>1.8092E-2</v>
      </c>
      <c r="I98">
        <v>0.35441699999999998</v>
      </c>
      <c r="J98">
        <v>-0.13634099999999999</v>
      </c>
      <c r="K98">
        <v>4</v>
      </c>
      <c r="L98">
        <v>4</v>
      </c>
      <c r="M98">
        <v>0</v>
      </c>
      <c r="N98">
        <v>2.7082410000000001</v>
      </c>
      <c r="O98" t="s">
        <v>84</v>
      </c>
    </row>
    <row r="99" spans="1:15" x14ac:dyDescent="0.3">
      <c r="A99" t="s">
        <v>19</v>
      </c>
      <c r="B99">
        <v>8</v>
      </c>
      <c r="C99">
        <v>4</v>
      </c>
      <c r="D99">
        <v>0.27</v>
      </c>
      <c r="E99">
        <v>1.45</v>
      </c>
      <c r="F99">
        <v>0</v>
      </c>
      <c r="G99">
        <v>0.66563300000000003</v>
      </c>
      <c r="H99">
        <v>1.6225E-2</v>
      </c>
      <c r="I99">
        <v>0.17469599999999999</v>
      </c>
      <c r="J99">
        <v>-0.15256600000000001</v>
      </c>
      <c r="K99">
        <v>4</v>
      </c>
      <c r="L99">
        <v>4</v>
      </c>
      <c r="M99">
        <v>0</v>
      </c>
      <c r="N99">
        <v>2.5601859999999999</v>
      </c>
      <c r="O99" t="s">
        <v>85</v>
      </c>
    </row>
    <row r="100" spans="1:15" x14ac:dyDescent="0.3">
      <c r="A100" t="s">
        <v>19</v>
      </c>
      <c r="B100">
        <v>9</v>
      </c>
      <c r="C100">
        <v>8</v>
      </c>
      <c r="D100">
        <v>0.78</v>
      </c>
      <c r="E100">
        <v>-3</v>
      </c>
      <c r="F100">
        <v>1</v>
      </c>
      <c r="G100">
        <v>0.99576399999999998</v>
      </c>
      <c r="H100">
        <v>2.5660000000000001E-3</v>
      </c>
      <c r="I100">
        <v>0.17799999999999999</v>
      </c>
      <c r="J100">
        <v>-0.15513199999999999</v>
      </c>
      <c r="K100">
        <v>4</v>
      </c>
      <c r="L100">
        <v>4</v>
      </c>
      <c r="M100">
        <v>0</v>
      </c>
      <c r="N100">
        <v>2.5389240000000002</v>
      </c>
      <c r="O100" t="s">
        <v>86</v>
      </c>
    </row>
    <row r="101" spans="1:15" x14ac:dyDescent="0.3">
      <c r="A101" t="s">
        <v>20</v>
      </c>
      <c r="B101">
        <v>1</v>
      </c>
      <c r="C101">
        <v>7</v>
      </c>
      <c r="D101">
        <v>0.71</v>
      </c>
      <c r="E101">
        <v>-0.92</v>
      </c>
      <c r="F101">
        <v>1</v>
      </c>
      <c r="G101">
        <v>0.65773099999999995</v>
      </c>
      <c r="H101">
        <v>0.113483</v>
      </c>
      <c r="I101">
        <v>2.0948999999999999E-2</v>
      </c>
      <c r="J101">
        <v>-1.4435E-2</v>
      </c>
      <c r="K101">
        <v>0</v>
      </c>
      <c r="L101">
        <v>4</v>
      </c>
      <c r="M101">
        <v>4</v>
      </c>
      <c r="N101">
        <v>8.3231490000000008</v>
      </c>
      <c r="O101">
        <v>7</v>
      </c>
    </row>
    <row r="102" spans="1:15" x14ac:dyDescent="0.3">
      <c r="A102" t="s">
        <v>20</v>
      </c>
      <c r="B102">
        <v>2</v>
      </c>
      <c r="C102">
        <v>3</v>
      </c>
      <c r="D102">
        <v>0.55000000000000004</v>
      </c>
      <c r="E102">
        <v>-0.28999999999999998</v>
      </c>
      <c r="F102">
        <v>1</v>
      </c>
      <c r="G102">
        <v>0.913686</v>
      </c>
      <c r="H102">
        <v>2.3855999999999999E-2</v>
      </c>
      <c r="I102">
        <v>6.8421999999999997E-2</v>
      </c>
      <c r="J102">
        <v>-3.8290999999999999E-2</v>
      </c>
      <c r="K102">
        <v>4</v>
      </c>
      <c r="L102">
        <v>4</v>
      </c>
      <c r="M102">
        <v>0</v>
      </c>
      <c r="N102">
        <v>5.1103290000000001</v>
      </c>
      <c r="O102" t="s">
        <v>52</v>
      </c>
    </row>
    <row r="103" spans="1:15" x14ac:dyDescent="0.3">
      <c r="A103" t="s">
        <v>20</v>
      </c>
      <c r="B103">
        <v>3</v>
      </c>
      <c r="C103">
        <v>1</v>
      </c>
      <c r="D103">
        <v>0.62</v>
      </c>
      <c r="E103">
        <v>-0.49</v>
      </c>
      <c r="F103">
        <v>1</v>
      </c>
      <c r="G103">
        <v>0.94179400000000002</v>
      </c>
      <c r="H103">
        <v>2.1072E-2</v>
      </c>
      <c r="I103">
        <v>0.10451000000000001</v>
      </c>
      <c r="J103">
        <v>-5.9364E-2</v>
      </c>
      <c r="K103">
        <v>4</v>
      </c>
      <c r="L103">
        <v>4</v>
      </c>
      <c r="M103">
        <v>0</v>
      </c>
      <c r="N103">
        <v>4.1043099999999999</v>
      </c>
      <c r="O103" t="s">
        <v>53</v>
      </c>
    </row>
    <row r="104" spans="1:15" x14ac:dyDescent="0.3">
      <c r="A104" t="s">
        <v>20</v>
      </c>
      <c r="B104">
        <v>4</v>
      </c>
      <c r="C104">
        <v>2</v>
      </c>
      <c r="D104">
        <v>0.31</v>
      </c>
      <c r="E104">
        <v>1.1599999999999999</v>
      </c>
      <c r="F104">
        <v>0</v>
      </c>
      <c r="G104">
        <v>0.70690500000000001</v>
      </c>
      <c r="H104">
        <v>1.9911000000000002E-2</v>
      </c>
      <c r="I104">
        <v>1.1E-5</v>
      </c>
      <c r="J104">
        <v>-0.12837200000000001</v>
      </c>
      <c r="K104">
        <v>4</v>
      </c>
      <c r="L104">
        <v>2.8767510000000001</v>
      </c>
      <c r="M104">
        <v>-1.1232489999999999</v>
      </c>
      <c r="N104">
        <v>2.791083</v>
      </c>
      <c r="O104" t="s">
        <v>54</v>
      </c>
    </row>
    <row r="105" spans="1:15" x14ac:dyDescent="0.3">
      <c r="A105" t="s">
        <v>20</v>
      </c>
      <c r="B105">
        <v>5</v>
      </c>
      <c r="C105">
        <v>5</v>
      </c>
      <c r="D105">
        <v>0.48</v>
      </c>
      <c r="E105">
        <v>-0.69</v>
      </c>
      <c r="F105">
        <v>1</v>
      </c>
      <c r="G105">
        <v>0.84710099999999999</v>
      </c>
      <c r="H105">
        <v>2.9842E-2</v>
      </c>
      <c r="I105">
        <v>0</v>
      </c>
      <c r="J105">
        <v>-0.128217</v>
      </c>
      <c r="K105">
        <v>2.8767510000000001</v>
      </c>
      <c r="L105">
        <v>3.3907440000000002</v>
      </c>
      <c r="M105">
        <v>0.51399300000000003</v>
      </c>
      <c r="N105">
        <v>2.7927170000000001</v>
      </c>
      <c r="O105" t="s">
        <v>55</v>
      </c>
    </row>
    <row r="106" spans="1:15" x14ac:dyDescent="0.3">
      <c r="A106" t="s">
        <v>20</v>
      </c>
      <c r="B106">
        <v>6</v>
      </c>
      <c r="C106">
        <v>9</v>
      </c>
      <c r="D106">
        <v>0.51</v>
      </c>
      <c r="E106">
        <v>-0.92</v>
      </c>
      <c r="F106">
        <v>1</v>
      </c>
      <c r="G106">
        <v>0.90011300000000005</v>
      </c>
      <c r="H106">
        <v>2.3386000000000001E-2</v>
      </c>
      <c r="I106">
        <v>0</v>
      </c>
      <c r="J106">
        <v>-0.13023100000000001</v>
      </c>
      <c r="K106">
        <v>3.3907440000000002</v>
      </c>
      <c r="L106">
        <v>3.7528540000000001</v>
      </c>
      <c r="M106">
        <v>0.36210999999999999</v>
      </c>
      <c r="N106">
        <v>2.7710430000000001</v>
      </c>
      <c r="O106" t="s">
        <v>56</v>
      </c>
    </row>
    <row r="107" spans="1:15" x14ac:dyDescent="0.3">
      <c r="A107" t="s">
        <v>20</v>
      </c>
      <c r="B107">
        <v>7</v>
      </c>
      <c r="C107">
        <v>6</v>
      </c>
      <c r="D107">
        <v>0.33</v>
      </c>
      <c r="E107">
        <v>0.28999999999999998</v>
      </c>
      <c r="F107">
        <v>0</v>
      </c>
      <c r="G107">
        <v>0.75818300000000005</v>
      </c>
      <c r="H107">
        <v>1.9966000000000001E-2</v>
      </c>
      <c r="I107">
        <v>2.1999999999999999E-5</v>
      </c>
      <c r="J107">
        <v>-0.24343999999999999</v>
      </c>
      <c r="K107">
        <v>3.7528540000000001</v>
      </c>
      <c r="L107">
        <v>2.4623729999999999</v>
      </c>
      <c r="M107">
        <v>-1.290481</v>
      </c>
      <c r="N107">
        <v>2.026799</v>
      </c>
      <c r="O107" t="s">
        <v>57</v>
      </c>
    </row>
    <row r="108" spans="1:15" x14ac:dyDescent="0.3">
      <c r="A108" t="s">
        <v>20</v>
      </c>
      <c r="B108">
        <v>8</v>
      </c>
      <c r="C108">
        <v>4</v>
      </c>
      <c r="D108">
        <v>0.27</v>
      </c>
      <c r="E108">
        <v>1.45</v>
      </c>
      <c r="F108">
        <v>0</v>
      </c>
      <c r="G108">
        <v>0.567913</v>
      </c>
      <c r="H108">
        <v>1.7888999999999999E-2</v>
      </c>
      <c r="I108">
        <v>0</v>
      </c>
      <c r="J108">
        <v>-0.30981300000000001</v>
      </c>
      <c r="K108">
        <v>2.4623729999999999</v>
      </c>
      <c r="L108">
        <v>1.9247909999999999</v>
      </c>
      <c r="M108">
        <v>-0.537582</v>
      </c>
      <c r="N108">
        <v>1.7965960000000001</v>
      </c>
      <c r="O108" t="s">
        <v>81</v>
      </c>
    </row>
    <row r="109" spans="1:15" x14ac:dyDescent="0.3">
      <c r="A109" t="s">
        <v>20</v>
      </c>
      <c r="B109">
        <v>9</v>
      </c>
      <c r="C109">
        <v>8</v>
      </c>
      <c r="D109">
        <v>0.78</v>
      </c>
      <c r="E109">
        <v>-3</v>
      </c>
      <c r="F109">
        <v>1</v>
      </c>
      <c r="G109">
        <v>0.97898600000000002</v>
      </c>
      <c r="H109">
        <v>1.2515999999999999E-2</v>
      </c>
      <c r="I109">
        <v>0</v>
      </c>
      <c r="J109">
        <v>-0.31707600000000002</v>
      </c>
      <c r="K109">
        <v>1.9247909999999999</v>
      </c>
      <c r="L109">
        <v>1.9760599999999999</v>
      </c>
      <c r="M109">
        <v>5.1269000000000002E-2</v>
      </c>
      <c r="N109">
        <v>1.7759</v>
      </c>
      <c r="O109" t="s">
        <v>82</v>
      </c>
    </row>
    <row r="110" spans="1:15" x14ac:dyDescent="0.3">
      <c r="A110" t="s">
        <v>21</v>
      </c>
      <c r="B110">
        <v>1</v>
      </c>
      <c r="C110">
        <v>7</v>
      </c>
      <c r="D110">
        <v>0.71</v>
      </c>
      <c r="E110">
        <v>-0.92</v>
      </c>
      <c r="F110">
        <v>1</v>
      </c>
      <c r="G110">
        <v>0.65773099999999995</v>
      </c>
      <c r="H110">
        <v>0.113483</v>
      </c>
      <c r="I110">
        <v>2.0948999999999999E-2</v>
      </c>
      <c r="J110">
        <v>-1.4435E-2</v>
      </c>
      <c r="K110">
        <v>0</v>
      </c>
      <c r="L110">
        <v>4</v>
      </c>
      <c r="M110">
        <v>4</v>
      </c>
      <c r="N110">
        <v>8.3231490000000008</v>
      </c>
      <c r="O110">
        <v>7</v>
      </c>
    </row>
    <row r="111" spans="1:15" x14ac:dyDescent="0.3">
      <c r="A111" t="s">
        <v>21</v>
      </c>
      <c r="B111">
        <v>2</v>
      </c>
      <c r="C111">
        <v>3</v>
      </c>
      <c r="D111">
        <v>0.55000000000000004</v>
      </c>
      <c r="E111">
        <v>-0.28999999999999998</v>
      </c>
      <c r="F111">
        <v>1</v>
      </c>
      <c r="G111">
        <v>0.913686</v>
      </c>
      <c r="H111">
        <v>2.3855999999999999E-2</v>
      </c>
      <c r="I111">
        <v>6.8421999999999997E-2</v>
      </c>
      <c r="J111">
        <v>-3.8290999999999999E-2</v>
      </c>
      <c r="K111">
        <v>4</v>
      </c>
      <c r="L111">
        <v>4</v>
      </c>
      <c r="M111">
        <v>0</v>
      </c>
      <c r="N111">
        <v>5.1103290000000001</v>
      </c>
      <c r="O111" t="s">
        <v>52</v>
      </c>
    </row>
    <row r="112" spans="1:15" x14ac:dyDescent="0.3">
      <c r="A112" t="s">
        <v>21</v>
      </c>
      <c r="B112">
        <v>3</v>
      </c>
      <c r="C112">
        <v>1</v>
      </c>
      <c r="D112">
        <v>0.62</v>
      </c>
      <c r="E112">
        <v>-0.49</v>
      </c>
      <c r="F112">
        <v>0</v>
      </c>
      <c r="G112">
        <v>0.94179400000000002</v>
      </c>
      <c r="H112">
        <v>2.1072E-2</v>
      </c>
      <c r="I112">
        <v>1.0618890000000001</v>
      </c>
      <c r="J112">
        <v>-0.111721</v>
      </c>
      <c r="K112">
        <v>4</v>
      </c>
      <c r="L112">
        <v>4</v>
      </c>
      <c r="M112">
        <v>0</v>
      </c>
      <c r="N112">
        <v>4.1043099999999999</v>
      </c>
      <c r="O112" t="s">
        <v>53</v>
      </c>
    </row>
    <row r="113" spans="1:15" x14ac:dyDescent="0.3">
      <c r="A113" t="s">
        <v>21</v>
      </c>
      <c r="B113">
        <v>4</v>
      </c>
      <c r="C113">
        <v>2</v>
      </c>
      <c r="D113">
        <v>0.31</v>
      </c>
      <c r="E113">
        <v>1.1599999999999999</v>
      </c>
      <c r="F113">
        <v>0</v>
      </c>
      <c r="G113">
        <v>0.70690500000000001</v>
      </c>
      <c r="H113">
        <v>1.9911000000000002E-2</v>
      </c>
      <c r="I113">
        <v>1.009798</v>
      </c>
      <c r="J113">
        <v>-0.12515499999999999</v>
      </c>
      <c r="K113">
        <v>4</v>
      </c>
      <c r="L113">
        <v>4</v>
      </c>
      <c r="M113">
        <v>0</v>
      </c>
      <c r="N113">
        <v>3.5516749999999999</v>
      </c>
      <c r="O113" t="s">
        <v>54</v>
      </c>
    </row>
    <row r="114" spans="1:15" x14ac:dyDescent="0.3">
      <c r="A114" t="s">
        <v>21</v>
      </c>
      <c r="B114">
        <v>5</v>
      </c>
      <c r="C114">
        <v>5</v>
      </c>
      <c r="D114">
        <v>0.48</v>
      </c>
      <c r="E114">
        <v>-0.69</v>
      </c>
      <c r="F114">
        <v>1</v>
      </c>
      <c r="G114">
        <v>0.90475399999999995</v>
      </c>
      <c r="H114">
        <v>1.9855000000000001E-2</v>
      </c>
      <c r="I114">
        <v>3.9999999999999998E-6</v>
      </c>
      <c r="J114">
        <v>-0.32793899999999998</v>
      </c>
      <c r="K114">
        <v>4</v>
      </c>
      <c r="L114">
        <v>0.61391399999999996</v>
      </c>
      <c r="M114">
        <v>-3.3860860000000002</v>
      </c>
      <c r="N114">
        <v>1.7462409999999999</v>
      </c>
      <c r="O114" t="s">
        <v>55</v>
      </c>
    </row>
    <row r="115" spans="1:15" x14ac:dyDescent="0.3">
      <c r="A115" t="s">
        <v>21</v>
      </c>
      <c r="B115">
        <v>6</v>
      </c>
      <c r="C115">
        <v>9</v>
      </c>
      <c r="D115">
        <v>0.51</v>
      </c>
      <c r="E115">
        <v>-0.92</v>
      </c>
      <c r="F115">
        <v>1</v>
      </c>
      <c r="G115">
        <v>0.68617499999999998</v>
      </c>
      <c r="H115">
        <v>5.6009999999999997E-2</v>
      </c>
      <c r="I115">
        <v>1.9000000000000001E-5</v>
      </c>
      <c r="J115">
        <v>-0.34696100000000002</v>
      </c>
      <c r="K115">
        <v>0.61391399999999996</v>
      </c>
      <c r="L115">
        <v>1.0513669999999999</v>
      </c>
      <c r="M115">
        <v>0.43745299999999998</v>
      </c>
      <c r="N115">
        <v>1.6977059999999999</v>
      </c>
      <c r="O115" t="s">
        <v>56</v>
      </c>
    </row>
    <row r="116" spans="1:15" x14ac:dyDescent="0.3">
      <c r="A116" t="s">
        <v>21</v>
      </c>
      <c r="B116">
        <v>7</v>
      </c>
      <c r="C116">
        <v>6</v>
      </c>
      <c r="D116">
        <v>0.33</v>
      </c>
      <c r="E116">
        <v>0.28999999999999998</v>
      </c>
      <c r="F116">
        <v>1</v>
      </c>
      <c r="G116">
        <v>0.56248399999999998</v>
      </c>
      <c r="H116">
        <v>2.6800000000000001E-2</v>
      </c>
      <c r="I116">
        <v>2.0000000000000002E-5</v>
      </c>
      <c r="J116">
        <v>-0.33579300000000001</v>
      </c>
      <c r="K116">
        <v>1.0513669999999999</v>
      </c>
      <c r="L116">
        <v>1.458169</v>
      </c>
      <c r="M116">
        <v>0.40680300000000003</v>
      </c>
      <c r="N116">
        <v>1.7257089999999999</v>
      </c>
      <c r="O116" t="s">
        <v>57</v>
      </c>
    </row>
    <row r="117" spans="1:15" x14ac:dyDescent="0.3">
      <c r="A117" t="s">
        <v>21</v>
      </c>
      <c r="B117">
        <v>8</v>
      </c>
      <c r="C117">
        <v>4</v>
      </c>
      <c r="D117">
        <v>0.27</v>
      </c>
      <c r="E117">
        <v>1.45</v>
      </c>
      <c r="F117">
        <v>0</v>
      </c>
      <c r="G117">
        <v>0.50055099999999997</v>
      </c>
      <c r="H117">
        <v>1.8225000000000002E-2</v>
      </c>
      <c r="I117">
        <v>1.4E-5</v>
      </c>
      <c r="J117">
        <v>-0.38805699999999999</v>
      </c>
      <c r="K117">
        <v>1.458169</v>
      </c>
      <c r="L117">
        <v>1.0940289999999999</v>
      </c>
      <c r="M117">
        <v>-0.36414000000000002</v>
      </c>
      <c r="N117">
        <v>1.6052930000000001</v>
      </c>
      <c r="O117" t="s">
        <v>81</v>
      </c>
    </row>
    <row r="118" spans="1:15" x14ac:dyDescent="0.3">
      <c r="A118" t="s">
        <v>21</v>
      </c>
      <c r="B118">
        <v>9</v>
      </c>
      <c r="C118">
        <v>8</v>
      </c>
      <c r="D118">
        <v>0.78</v>
      </c>
      <c r="E118">
        <v>-3</v>
      </c>
      <c r="F118">
        <v>1</v>
      </c>
      <c r="G118">
        <v>0.96058299999999996</v>
      </c>
      <c r="H118">
        <v>2.3036000000000001E-2</v>
      </c>
      <c r="I118">
        <v>0</v>
      </c>
      <c r="J118">
        <v>-0.40293299999999999</v>
      </c>
      <c r="K118">
        <v>1.0940289999999999</v>
      </c>
      <c r="L118">
        <v>1.1695679999999999</v>
      </c>
      <c r="M118">
        <v>7.5538999999999995E-2</v>
      </c>
      <c r="N118">
        <v>1.5753729999999999</v>
      </c>
      <c r="O118" t="s">
        <v>82</v>
      </c>
    </row>
    <row r="119" spans="1:15" x14ac:dyDescent="0.3">
      <c r="A119" t="s">
        <v>22</v>
      </c>
      <c r="B119">
        <v>1</v>
      </c>
      <c r="C119">
        <v>7</v>
      </c>
      <c r="D119">
        <v>0.71</v>
      </c>
      <c r="E119">
        <v>-0.92</v>
      </c>
      <c r="F119">
        <v>1</v>
      </c>
      <c r="G119">
        <v>0.65773099999999995</v>
      </c>
      <c r="H119">
        <v>0.113483</v>
      </c>
      <c r="I119">
        <v>2.0948999999999999E-2</v>
      </c>
      <c r="J119">
        <v>-1.4435E-2</v>
      </c>
      <c r="K119">
        <v>0</v>
      </c>
      <c r="L119">
        <v>4</v>
      </c>
      <c r="M119">
        <v>4</v>
      </c>
      <c r="N119">
        <v>8.3231490000000008</v>
      </c>
      <c r="O119">
        <v>7</v>
      </c>
    </row>
    <row r="120" spans="1:15" x14ac:dyDescent="0.3">
      <c r="A120" t="s">
        <v>22</v>
      </c>
      <c r="B120">
        <v>2</v>
      </c>
      <c r="C120">
        <v>3</v>
      </c>
      <c r="D120">
        <v>0.55000000000000004</v>
      </c>
      <c r="E120">
        <v>-0.28999999999999998</v>
      </c>
      <c r="F120">
        <v>0</v>
      </c>
      <c r="G120">
        <v>0.913686</v>
      </c>
      <c r="H120">
        <v>2.3855999999999999E-2</v>
      </c>
      <c r="I120">
        <v>0.57507200000000003</v>
      </c>
      <c r="J120">
        <v>-7.6538999999999996E-2</v>
      </c>
      <c r="K120">
        <v>4</v>
      </c>
      <c r="L120">
        <v>3.5134439999999998</v>
      </c>
      <c r="M120">
        <v>-0.48655599999999999</v>
      </c>
      <c r="N120">
        <v>4.4950190000000001</v>
      </c>
      <c r="O120" t="s">
        <v>52</v>
      </c>
    </row>
    <row r="121" spans="1:15" x14ac:dyDescent="0.3">
      <c r="A121" t="s">
        <v>22</v>
      </c>
      <c r="B121">
        <v>3</v>
      </c>
      <c r="C121">
        <v>1</v>
      </c>
      <c r="D121">
        <v>0.62</v>
      </c>
      <c r="E121">
        <v>-0.49</v>
      </c>
      <c r="F121">
        <v>1</v>
      </c>
      <c r="G121">
        <v>0.92288000000000003</v>
      </c>
      <c r="H121">
        <v>2.7359000000000001E-2</v>
      </c>
      <c r="I121">
        <v>1.9999999999999999E-6</v>
      </c>
      <c r="J121">
        <v>-0.24040700000000001</v>
      </c>
      <c r="K121">
        <v>3.5134439999999998</v>
      </c>
      <c r="L121">
        <v>0.79533500000000001</v>
      </c>
      <c r="M121">
        <v>-2.7181090000000001</v>
      </c>
      <c r="N121">
        <v>2.0395150000000002</v>
      </c>
      <c r="O121" t="s">
        <v>53</v>
      </c>
    </row>
    <row r="122" spans="1:15" x14ac:dyDescent="0.3">
      <c r="A122" t="s">
        <v>22</v>
      </c>
      <c r="B122">
        <v>4</v>
      </c>
      <c r="C122">
        <v>9</v>
      </c>
      <c r="D122">
        <v>0.51</v>
      </c>
      <c r="E122">
        <v>-0.92</v>
      </c>
      <c r="F122">
        <v>0</v>
      </c>
      <c r="G122">
        <v>0.70574800000000004</v>
      </c>
      <c r="H122">
        <v>5.4014E-2</v>
      </c>
      <c r="I122">
        <v>0</v>
      </c>
      <c r="J122">
        <v>-0.354881</v>
      </c>
      <c r="K122">
        <v>0.79533500000000001</v>
      </c>
      <c r="L122">
        <v>-0.298203</v>
      </c>
      <c r="M122">
        <v>-1.093539</v>
      </c>
      <c r="N122">
        <v>1.6786430000000001</v>
      </c>
      <c r="O122" t="s">
        <v>88</v>
      </c>
    </row>
    <row r="123" spans="1:15" x14ac:dyDescent="0.3">
      <c r="A123" t="s">
        <v>22</v>
      </c>
      <c r="B123">
        <v>5</v>
      </c>
      <c r="C123">
        <v>8</v>
      </c>
      <c r="D123">
        <v>0.78</v>
      </c>
      <c r="E123">
        <v>-3</v>
      </c>
      <c r="F123">
        <v>1</v>
      </c>
      <c r="G123">
        <v>0.89161999999999997</v>
      </c>
      <c r="H123">
        <v>5.8791999999999997E-2</v>
      </c>
      <c r="I123">
        <v>0</v>
      </c>
      <c r="J123">
        <v>-0.39959</v>
      </c>
      <c r="K123">
        <v>-0.298203</v>
      </c>
      <c r="L123">
        <v>-9.0393000000000001E-2</v>
      </c>
      <c r="M123">
        <v>0.20780999999999999</v>
      </c>
      <c r="N123">
        <v>1.58195</v>
      </c>
      <c r="O123" t="s">
        <v>89</v>
      </c>
    </row>
    <row r="124" spans="1:15" x14ac:dyDescent="0.3">
      <c r="A124" t="s">
        <v>22</v>
      </c>
      <c r="B124">
        <v>6</v>
      </c>
      <c r="C124">
        <v>5</v>
      </c>
      <c r="D124">
        <v>0.48</v>
      </c>
      <c r="E124">
        <v>-0.69</v>
      </c>
      <c r="F124">
        <v>0</v>
      </c>
      <c r="G124">
        <v>0.57145999999999997</v>
      </c>
      <c r="H124">
        <v>5.6423000000000001E-2</v>
      </c>
      <c r="I124">
        <v>1.2E-5</v>
      </c>
      <c r="J124">
        <v>-0.49104700000000001</v>
      </c>
      <c r="K124">
        <v>-9.0393000000000001E-2</v>
      </c>
      <c r="L124">
        <v>-0.66774900000000004</v>
      </c>
      <c r="M124">
        <v>-0.57735599999999998</v>
      </c>
      <c r="N124">
        <v>1.427049</v>
      </c>
      <c r="O124" t="s">
        <v>90</v>
      </c>
    </row>
    <row r="125" spans="1:15" x14ac:dyDescent="0.3">
      <c r="A125" t="s">
        <v>22</v>
      </c>
      <c r="B125">
        <v>7</v>
      </c>
      <c r="C125">
        <v>6</v>
      </c>
      <c r="D125">
        <v>0.33</v>
      </c>
      <c r="E125">
        <v>0.28999999999999998</v>
      </c>
      <c r="F125">
        <v>0</v>
      </c>
      <c r="G125">
        <v>0.42163699999999998</v>
      </c>
      <c r="H125">
        <v>2.6556E-2</v>
      </c>
      <c r="I125">
        <v>0</v>
      </c>
      <c r="J125">
        <v>-0.52658300000000002</v>
      </c>
      <c r="K125">
        <v>-0.66774900000000004</v>
      </c>
      <c r="L125">
        <v>-0.93405700000000003</v>
      </c>
      <c r="M125">
        <v>-0.26630700000000002</v>
      </c>
      <c r="N125">
        <v>1.378055</v>
      </c>
      <c r="O125" t="s">
        <v>91</v>
      </c>
    </row>
    <row r="126" spans="1:15" x14ac:dyDescent="0.3">
      <c r="A126" t="s">
        <v>22</v>
      </c>
      <c r="B126">
        <v>8</v>
      </c>
      <c r="C126">
        <v>2</v>
      </c>
      <c r="D126">
        <v>0.31</v>
      </c>
      <c r="E126">
        <v>1.1599999999999999</v>
      </c>
      <c r="F126">
        <v>0</v>
      </c>
      <c r="G126">
        <v>0.34317900000000001</v>
      </c>
      <c r="H126">
        <v>2.1662000000000001E-2</v>
      </c>
      <c r="I126">
        <v>0</v>
      </c>
      <c r="J126">
        <v>-0.5514</v>
      </c>
      <c r="K126">
        <v>-0.93405700000000003</v>
      </c>
      <c r="L126">
        <v>-1.1274729999999999</v>
      </c>
      <c r="M126">
        <v>-0.193416</v>
      </c>
      <c r="N126">
        <v>1.346686</v>
      </c>
      <c r="O126" t="s">
        <v>92</v>
      </c>
    </row>
    <row r="127" spans="1:15" x14ac:dyDescent="0.3">
      <c r="A127" t="s">
        <v>22</v>
      </c>
      <c r="B127">
        <v>9</v>
      </c>
      <c r="C127">
        <v>4</v>
      </c>
      <c r="D127">
        <v>0.27</v>
      </c>
      <c r="E127">
        <v>1.45</v>
      </c>
      <c r="F127">
        <v>0</v>
      </c>
      <c r="G127">
        <v>0.33271800000000001</v>
      </c>
      <c r="H127">
        <v>1.6185000000000001E-2</v>
      </c>
      <c r="I127">
        <v>0</v>
      </c>
      <c r="J127">
        <v>-0.56804399999999999</v>
      </c>
      <c r="K127">
        <v>-1.1274729999999999</v>
      </c>
      <c r="L127">
        <v>-1.2856430000000001</v>
      </c>
      <c r="M127">
        <v>-0.15817000000000001</v>
      </c>
      <c r="N127">
        <v>1.32681</v>
      </c>
      <c r="O127" t="s">
        <v>93</v>
      </c>
    </row>
    <row r="128" spans="1:15" x14ac:dyDescent="0.3">
      <c r="A128" t="s">
        <v>23</v>
      </c>
      <c r="B128">
        <v>1</v>
      </c>
      <c r="C128">
        <v>7</v>
      </c>
      <c r="D128">
        <v>0.71</v>
      </c>
      <c r="E128">
        <v>-0.92</v>
      </c>
      <c r="F128">
        <v>1</v>
      </c>
      <c r="G128">
        <v>0.65773099999999995</v>
      </c>
      <c r="H128">
        <v>0.113483</v>
      </c>
      <c r="I128">
        <v>2.0948999999999999E-2</v>
      </c>
      <c r="J128">
        <v>-1.4435E-2</v>
      </c>
      <c r="K128">
        <v>0</v>
      </c>
      <c r="L128">
        <v>4</v>
      </c>
      <c r="M128">
        <v>4</v>
      </c>
      <c r="N128">
        <v>8.3231490000000008</v>
      </c>
      <c r="O128">
        <v>7</v>
      </c>
    </row>
    <row r="129" spans="1:15" x14ac:dyDescent="0.3">
      <c r="A129" t="s">
        <v>23</v>
      </c>
      <c r="B129">
        <v>2</v>
      </c>
      <c r="C129">
        <v>3</v>
      </c>
      <c r="D129">
        <v>0.55000000000000004</v>
      </c>
      <c r="E129">
        <v>-0.28999999999999998</v>
      </c>
      <c r="F129">
        <v>1</v>
      </c>
      <c r="G129">
        <v>0.913686</v>
      </c>
      <c r="H129">
        <v>2.3855999999999999E-2</v>
      </c>
      <c r="I129">
        <v>6.8421999999999997E-2</v>
      </c>
      <c r="J129">
        <v>-3.8290999999999999E-2</v>
      </c>
      <c r="K129">
        <v>4</v>
      </c>
      <c r="L129">
        <v>4</v>
      </c>
      <c r="M129">
        <v>0</v>
      </c>
      <c r="N129">
        <v>5.1103290000000001</v>
      </c>
      <c r="O129" t="s">
        <v>52</v>
      </c>
    </row>
    <row r="130" spans="1:15" x14ac:dyDescent="0.3">
      <c r="A130" t="s">
        <v>23</v>
      </c>
      <c r="B130">
        <v>3</v>
      </c>
      <c r="C130">
        <v>1</v>
      </c>
      <c r="D130">
        <v>0.62</v>
      </c>
      <c r="E130">
        <v>-0.49</v>
      </c>
      <c r="F130">
        <v>1</v>
      </c>
      <c r="G130">
        <v>0.94179400000000002</v>
      </c>
      <c r="H130">
        <v>2.1072E-2</v>
      </c>
      <c r="I130">
        <v>0.10451000000000001</v>
      </c>
      <c r="J130">
        <v>-5.9364E-2</v>
      </c>
      <c r="K130">
        <v>4</v>
      </c>
      <c r="L130">
        <v>4</v>
      </c>
      <c r="M130">
        <v>0</v>
      </c>
      <c r="N130">
        <v>4.1043099999999999</v>
      </c>
      <c r="O130" t="s">
        <v>53</v>
      </c>
    </row>
    <row r="131" spans="1:15" x14ac:dyDescent="0.3">
      <c r="A131" t="s">
        <v>23</v>
      </c>
      <c r="B131">
        <v>4</v>
      </c>
      <c r="C131">
        <v>2</v>
      </c>
      <c r="D131">
        <v>0.31</v>
      </c>
      <c r="E131">
        <v>1.1599999999999999</v>
      </c>
      <c r="F131">
        <v>1</v>
      </c>
      <c r="G131">
        <v>0.70690500000000001</v>
      </c>
      <c r="H131">
        <v>1.9911000000000002E-2</v>
      </c>
      <c r="I131">
        <v>0.19536899999999999</v>
      </c>
      <c r="J131">
        <v>-7.9274999999999998E-2</v>
      </c>
      <c r="K131">
        <v>4</v>
      </c>
      <c r="L131">
        <v>4</v>
      </c>
      <c r="M131">
        <v>0</v>
      </c>
      <c r="N131">
        <v>3.5516749999999999</v>
      </c>
      <c r="O131" t="s">
        <v>54</v>
      </c>
    </row>
    <row r="132" spans="1:15" x14ac:dyDescent="0.3">
      <c r="A132" t="s">
        <v>23</v>
      </c>
      <c r="B132">
        <v>5</v>
      </c>
      <c r="C132">
        <v>5</v>
      </c>
      <c r="D132">
        <v>0.48</v>
      </c>
      <c r="E132">
        <v>-0.69</v>
      </c>
      <c r="F132">
        <v>1</v>
      </c>
      <c r="G132">
        <v>0.90475399999999995</v>
      </c>
      <c r="H132">
        <v>1.9855000000000001E-2</v>
      </c>
      <c r="I132">
        <v>0.241087</v>
      </c>
      <c r="J132">
        <v>-9.9128999999999995E-2</v>
      </c>
      <c r="K132">
        <v>4</v>
      </c>
      <c r="L132">
        <v>4</v>
      </c>
      <c r="M132">
        <v>0</v>
      </c>
      <c r="N132">
        <v>3.176139</v>
      </c>
      <c r="O132" t="s">
        <v>55</v>
      </c>
    </row>
    <row r="133" spans="1:15" x14ac:dyDescent="0.3">
      <c r="A133" t="s">
        <v>23</v>
      </c>
      <c r="B133">
        <v>6</v>
      </c>
      <c r="C133">
        <v>6</v>
      </c>
      <c r="D133">
        <v>0.33</v>
      </c>
      <c r="E133">
        <v>0.28999999999999998</v>
      </c>
      <c r="F133">
        <v>0</v>
      </c>
      <c r="G133">
        <v>0.77281900000000003</v>
      </c>
      <c r="H133">
        <v>1.9120000000000002E-2</v>
      </c>
      <c r="I133">
        <v>0</v>
      </c>
      <c r="J133">
        <v>-0.123638</v>
      </c>
      <c r="K133">
        <v>4</v>
      </c>
      <c r="L133">
        <v>3.8846940000000001</v>
      </c>
      <c r="M133">
        <v>-0.11530600000000001</v>
      </c>
      <c r="N133">
        <v>2.843966</v>
      </c>
      <c r="O133" t="s">
        <v>83</v>
      </c>
    </row>
    <row r="134" spans="1:15" x14ac:dyDescent="0.3">
      <c r="A134" t="s">
        <v>23</v>
      </c>
      <c r="B134">
        <v>7</v>
      </c>
      <c r="C134">
        <v>9</v>
      </c>
      <c r="D134">
        <v>0.51</v>
      </c>
      <c r="E134">
        <v>-0.92</v>
      </c>
      <c r="F134">
        <v>1</v>
      </c>
      <c r="G134">
        <v>0.92059000000000002</v>
      </c>
      <c r="H134">
        <v>1.9014E-2</v>
      </c>
      <c r="I134">
        <v>2.4417000000000001E-2</v>
      </c>
      <c r="J134">
        <v>-0.13634099999999999</v>
      </c>
      <c r="K134">
        <v>3.8846940000000001</v>
      </c>
      <c r="L134">
        <v>4</v>
      </c>
      <c r="M134">
        <v>0.11530600000000001</v>
      </c>
      <c r="N134">
        <v>2.7082410000000001</v>
      </c>
      <c r="O134" t="s">
        <v>84</v>
      </c>
    </row>
    <row r="135" spans="1:15" x14ac:dyDescent="0.3">
      <c r="A135" t="s">
        <v>23</v>
      </c>
      <c r="B135">
        <v>8</v>
      </c>
      <c r="C135">
        <v>4</v>
      </c>
      <c r="D135">
        <v>0.27</v>
      </c>
      <c r="E135">
        <v>1.45</v>
      </c>
      <c r="F135">
        <v>0</v>
      </c>
      <c r="G135">
        <v>0.66563300000000003</v>
      </c>
      <c r="H135">
        <v>1.6225E-2</v>
      </c>
      <c r="I135">
        <v>9.9999999999999995E-7</v>
      </c>
      <c r="J135">
        <v>-0.20794499999999999</v>
      </c>
      <c r="K135">
        <v>4</v>
      </c>
      <c r="L135">
        <v>3.1321949999999998</v>
      </c>
      <c r="M135">
        <v>-0.86780500000000005</v>
      </c>
      <c r="N135">
        <v>2.1929379999999998</v>
      </c>
      <c r="O135" t="s">
        <v>85</v>
      </c>
    </row>
    <row r="136" spans="1:15" x14ac:dyDescent="0.3">
      <c r="A136" t="s">
        <v>23</v>
      </c>
      <c r="B136">
        <v>9</v>
      </c>
      <c r="C136">
        <v>8</v>
      </c>
      <c r="D136">
        <v>0.78</v>
      </c>
      <c r="E136">
        <v>-3</v>
      </c>
      <c r="F136">
        <v>1</v>
      </c>
      <c r="G136">
        <v>0.99170000000000003</v>
      </c>
      <c r="H136">
        <v>5.0080000000000003E-3</v>
      </c>
      <c r="I136">
        <v>0</v>
      </c>
      <c r="J136">
        <v>-0.210619</v>
      </c>
      <c r="K136">
        <v>3.1321949999999998</v>
      </c>
      <c r="L136">
        <v>3.162766</v>
      </c>
      <c r="M136">
        <v>3.0571000000000001E-2</v>
      </c>
      <c r="N136">
        <v>2.1789710000000002</v>
      </c>
      <c r="O136" t="s">
        <v>86</v>
      </c>
    </row>
    <row r="137" spans="1:15" x14ac:dyDescent="0.3">
      <c r="A137" t="s">
        <v>24</v>
      </c>
      <c r="B137">
        <v>1</v>
      </c>
      <c r="C137">
        <v>7</v>
      </c>
      <c r="D137">
        <v>0.71</v>
      </c>
      <c r="E137">
        <v>-0.92</v>
      </c>
      <c r="F137">
        <v>0</v>
      </c>
      <c r="G137">
        <v>0.65773099999999995</v>
      </c>
      <c r="H137">
        <v>0.113483</v>
      </c>
      <c r="I137">
        <v>-7.1668999999999997E-2</v>
      </c>
      <c r="J137">
        <v>-4.5747999999999997E-2</v>
      </c>
      <c r="K137">
        <v>0</v>
      </c>
      <c r="L137">
        <v>-4</v>
      </c>
      <c r="M137">
        <v>-4</v>
      </c>
      <c r="N137">
        <v>4.6753229999999997</v>
      </c>
      <c r="O137">
        <v>7</v>
      </c>
    </row>
    <row r="138" spans="1:15" x14ac:dyDescent="0.3">
      <c r="A138" t="s">
        <v>24</v>
      </c>
      <c r="B138">
        <v>2</v>
      </c>
      <c r="C138">
        <v>8</v>
      </c>
      <c r="D138">
        <v>0.78</v>
      </c>
      <c r="E138">
        <v>-3</v>
      </c>
      <c r="F138">
        <v>1</v>
      </c>
      <c r="G138">
        <v>0.31431999999999999</v>
      </c>
      <c r="H138">
        <v>0.13112399999999999</v>
      </c>
      <c r="I138">
        <v>1.9999999999999999E-6</v>
      </c>
      <c r="J138">
        <v>-0.23935899999999999</v>
      </c>
      <c r="K138">
        <v>-4</v>
      </c>
      <c r="L138">
        <v>-1.916709</v>
      </c>
      <c r="M138">
        <v>2.083291</v>
      </c>
      <c r="N138">
        <v>2.0439720000000001</v>
      </c>
      <c r="O138" t="s">
        <v>61</v>
      </c>
    </row>
    <row r="139" spans="1:15" x14ac:dyDescent="0.3">
      <c r="A139" t="s">
        <v>24</v>
      </c>
      <c r="B139">
        <v>3</v>
      </c>
      <c r="C139">
        <v>1</v>
      </c>
      <c r="D139">
        <v>0.62</v>
      </c>
      <c r="E139">
        <v>-0.49</v>
      </c>
      <c r="F139">
        <v>0</v>
      </c>
      <c r="G139">
        <v>0.29223399999999999</v>
      </c>
      <c r="H139">
        <v>7.9506999999999994E-2</v>
      </c>
      <c r="I139">
        <v>-9.9999999999999995E-7</v>
      </c>
      <c r="J139">
        <v>-0.30678499999999997</v>
      </c>
      <c r="K139">
        <v>-1.916709</v>
      </c>
      <c r="L139">
        <v>-2.4935239999999999</v>
      </c>
      <c r="M139">
        <v>-0.57681499999999997</v>
      </c>
      <c r="N139">
        <v>1.8054399999999999</v>
      </c>
      <c r="O139" t="s">
        <v>62</v>
      </c>
    </row>
    <row r="140" spans="1:15" x14ac:dyDescent="0.3">
      <c r="A140" t="s">
        <v>24</v>
      </c>
      <c r="B140">
        <v>4</v>
      </c>
      <c r="C140">
        <v>9</v>
      </c>
      <c r="D140">
        <v>0.51</v>
      </c>
      <c r="E140">
        <v>-0.92</v>
      </c>
      <c r="F140">
        <v>0</v>
      </c>
      <c r="G140">
        <v>0.30949199999999999</v>
      </c>
      <c r="H140">
        <v>5.5585000000000002E-2</v>
      </c>
      <c r="I140">
        <v>-6.9999999999999999E-6</v>
      </c>
      <c r="J140">
        <v>-0.337173</v>
      </c>
      <c r="K140">
        <v>-2.4935239999999999</v>
      </c>
      <c r="L140">
        <v>-2.9437679999999999</v>
      </c>
      <c r="M140">
        <v>-0.45024399999999998</v>
      </c>
      <c r="N140">
        <v>1.722164</v>
      </c>
      <c r="O140" t="s">
        <v>69</v>
      </c>
    </row>
    <row r="141" spans="1:15" x14ac:dyDescent="0.3">
      <c r="A141" t="s">
        <v>24</v>
      </c>
      <c r="B141">
        <v>5</v>
      </c>
      <c r="C141">
        <v>3</v>
      </c>
      <c r="D141">
        <v>0.55000000000000004</v>
      </c>
      <c r="E141">
        <v>-0.28999999999999998</v>
      </c>
      <c r="F141">
        <v>0</v>
      </c>
      <c r="G141">
        <v>0.18853300000000001</v>
      </c>
      <c r="H141">
        <v>4.6279000000000001E-2</v>
      </c>
      <c r="I141">
        <v>-3.9999999999999998E-6</v>
      </c>
      <c r="J141">
        <v>-0.35899199999999998</v>
      </c>
      <c r="K141">
        <v>-2.9437679999999999</v>
      </c>
      <c r="L141">
        <v>-3.2229130000000001</v>
      </c>
      <c r="M141">
        <v>-0.27914499999999998</v>
      </c>
      <c r="N141">
        <v>1.669006</v>
      </c>
      <c r="O141" t="s">
        <v>70</v>
      </c>
    </row>
    <row r="142" spans="1:15" x14ac:dyDescent="0.3">
      <c r="A142" t="s">
        <v>24</v>
      </c>
      <c r="B142">
        <v>6</v>
      </c>
      <c r="C142">
        <v>5</v>
      </c>
      <c r="D142">
        <v>0.48</v>
      </c>
      <c r="E142">
        <v>-0.69</v>
      </c>
      <c r="F142">
        <v>1</v>
      </c>
      <c r="G142">
        <v>0.22867699999999999</v>
      </c>
      <c r="H142">
        <v>4.0639000000000002E-2</v>
      </c>
      <c r="I142">
        <v>0</v>
      </c>
      <c r="J142">
        <v>-0.47161199999999998</v>
      </c>
      <c r="K142">
        <v>-3.2229130000000001</v>
      </c>
      <c r="L142">
        <v>-2.37839</v>
      </c>
      <c r="M142">
        <v>0.84452300000000002</v>
      </c>
      <c r="N142">
        <v>1.4561550000000001</v>
      </c>
      <c r="O142" t="s">
        <v>71</v>
      </c>
    </row>
    <row r="143" spans="1:15" x14ac:dyDescent="0.3">
      <c r="A143" t="s">
        <v>24</v>
      </c>
      <c r="B143">
        <v>7</v>
      </c>
      <c r="C143">
        <v>6</v>
      </c>
      <c r="D143">
        <v>0.33</v>
      </c>
      <c r="E143">
        <v>0.28999999999999998</v>
      </c>
      <c r="F143">
        <v>0</v>
      </c>
      <c r="G143">
        <v>0.29305999999999999</v>
      </c>
      <c r="H143">
        <v>2.2561000000000001E-2</v>
      </c>
      <c r="I143">
        <v>0</v>
      </c>
      <c r="J143">
        <v>-0.47974299999999998</v>
      </c>
      <c r="K143">
        <v>-2.37839</v>
      </c>
      <c r="L143">
        <v>-2.5769169999999999</v>
      </c>
      <c r="M143">
        <v>-0.19852700000000001</v>
      </c>
      <c r="N143">
        <v>1.443762</v>
      </c>
      <c r="O143" t="s">
        <v>72</v>
      </c>
    </row>
    <row r="144" spans="1:15" x14ac:dyDescent="0.3">
      <c r="A144" t="s">
        <v>24</v>
      </c>
      <c r="B144">
        <v>8</v>
      </c>
      <c r="C144">
        <v>2</v>
      </c>
      <c r="D144">
        <v>0.31</v>
      </c>
      <c r="E144">
        <v>1.1599999999999999</v>
      </c>
      <c r="F144">
        <v>0</v>
      </c>
      <c r="G144">
        <v>0.23895</v>
      </c>
      <c r="H144">
        <v>1.7475999999999998E-2</v>
      </c>
      <c r="I144">
        <v>0</v>
      </c>
      <c r="J144">
        <v>-0.484427</v>
      </c>
      <c r="K144">
        <v>-2.5769169999999999</v>
      </c>
      <c r="L144">
        <v>-2.7278060000000002</v>
      </c>
      <c r="M144">
        <v>-0.150889</v>
      </c>
      <c r="N144">
        <v>1.4367650000000001</v>
      </c>
      <c r="O144" t="s">
        <v>73</v>
      </c>
    </row>
    <row r="145" spans="1:15" x14ac:dyDescent="0.3">
      <c r="A145" t="s">
        <v>24</v>
      </c>
      <c r="B145">
        <v>9</v>
      </c>
      <c r="C145">
        <v>4</v>
      </c>
      <c r="D145">
        <v>0.27</v>
      </c>
      <c r="E145">
        <v>1.45</v>
      </c>
      <c r="F145">
        <v>1</v>
      </c>
      <c r="G145">
        <v>0.244529</v>
      </c>
      <c r="H145">
        <v>1.3467E-2</v>
      </c>
      <c r="I145">
        <v>-6.0000000000000002E-6</v>
      </c>
      <c r="J145">
        <v>-0.52963400000000005</v>
      </c>
      <c r="K145">
        <v>-2.7278060000000002</v>
      </c>
      <c r="L145">
        <v>-2.3313250000000001</v>
      </c>
      <c r="M145">
        <v>0.39648099999999997</v>
      </c>
      <c r="N145">
        <v>1.374082</v>
      </c>
      <c r="O145" t="s">
        <v>74</v>
      </c>
    </row>
    <row r="146" spans="1:15" x14ac:dyDescent="0.3">
      <c r="A146" t="s">
        <v>25</v>
      </c>
      <c r="B146">
        <v>1</v>
      </c>
      <c r="C146">
        <v>7</v>
      </c>
      <c r="D146">
        <v>0.71</v>
      </c>
      <c r="E146">
        <v>-0.92</v>
      </c>
      <c r="F146">
        <v>1</v>
      </c>
      <c r="G146">
        <v>0.65773099999999995</v>
      </c>
      <c r="H146">
        <v>0.113483</v>
      </c>
      <c r="I146">
        <v>2.0948999999999999E-2</v>
      </c>
      <c r="J146">
        <v>-1.4435E-2</v>
      </c>
      <c r="K146">
        <v>0</v>
      </c>
      <c r="L146">
        <v>4</v>
      </c>
      <c r="M146">
        <v>4</v>
      </c>
      <c r="N146">
        <v>8.3231490000000008</v>
      </c>
      <c r="O146">
        <v>7</v>
      </c>
    </row>
    <row r="147" spans="1:15" x14ac:dyDescent="0.3">
      <c r="A147" t="s">
        <v>25</v>
      </c>
      <c r="B147">
        <v>2</v>
      </c>
      <c r="C147">
        <v>3</v>
      </c>
      <c r="D147">
        <v>0.55000000000000004</v>
      </c>
      <c r="E147">
        <v>-0.28999999999999998</v>
      </c>
      <c r="F147">
        <v>1</v>
      </c>
      <c r="G147">
        <v>0.913686</v>
      </c>
      <c r="H147">
        <v>2.3855999999999999E-2</v>
      </c>
      <c r="I147">
        <v>6.8421999999999997E-2</v>
      </c>
      <c r="J147">
        <v>-3.8290999999999999E-2</v>
      </c>
      <c r="K147">
        <v>4</v>
      </c>
      <c r="L147">
        <v>4</v>
      </c>
      <c r="M147">
        <v>0</v>
      </c>
      <c r="N147">
        <v>5.1103290000000001</v>
      </c>
      <c r="O147" t="s">
        <v>52</v>
      </c>
    </row>
    <row r="148" spans="1:15" x14ac:dyDescent="0.3">
      <c r="A148" t="s">
        <v>25</v>
      </c>
      <c r="B148">
        <v>3</v>
      </c>
      <c r="C148">
        <v>1</v>
      </c>
      <c r="D148">
        <v>0.62</v>
      </c>
      <c r="E148">
        <v>-0.49</v>
      </c>
      <c r="F148">
        <v>1</v>
      </c>
      <c r="G148">
        <v>0.94179400000000002</v>
      </c>
      <c r="H148">
        <v>2.1072E-2</v>
      </c>
      <c r="I148">
        <v>0.10451000000000001</v>
      </c>
      <c r="J148">
        <v>-5.9364E-2</v>
      </c>
      <c r="K148">
        <v>4</v>
      </c>
      <c r="L148">
        <v>4</v>
      </c>
      <c r="M148">
        <v>0</v>
      </c>
      <c r="N148">
        <v>4.1043099999999999</v>
      </c>
      <c r="O148" t="s">
        <v>53</v>
      </c>
    </row>
    <row r="149" spans="1:15" x14ac:dyDescent="0.3">
      <c r="A149" t="s">
        <v>25</v>
      </c>
      <c r="B149">
        <v>4</v>
      </c>
      <c r="C149">
        <v>2</v>
      </c>
      <c r="D149">
        <v>0.31</v>
      </c>
      <c r="E149">
        <v>1.1599999999999999</v>
      </c>
      <c r="F149">
        <v>0</v>
      </c>
      <c r="G149">
        <v>0.70690500000000001</v>
      </c>
      <c r="H149">
        <v>1.9911000000000002E-2</v>
      </c>
      <c r="I149">
        <v>1.1E-5</v>
      </c>
      <c r="J149">
        <v>-0.12837200000000001</v>
      </c>
      <c r="K149">
        <v>4</v>
      </c>
      <c r="L149">
        <v>2.8767510000000001</v>
      </c>
      <c r="M149">
        <v>-1.1232489999999999</v>
      </c>
      <c r="N149">
        <v>2.791083</v>
      </c>
      <c r="O149" t="s">
        <v>54</v>
      </c>
    </row>
    <row r="150" spans="1:15" x14ac:dyDescent="0.3">
      <c r="A150" t="s">
        <v>25</v>
      </c>
      <c r="B150">
        <v>5</v>
      </c>
      <c r="C150">
        <v>5</v>
      </c>
      <c r="D150">
        <v>0.48</v>
      </c>
      <c r="E150">
        <v>-0.69</v>
      </c>
      <c r="F150">
        <v>1</v>
      </c>
      <c r="G150">
        <v>0.84710099999999999</v>
      </c>
      <c r="H150">
        <v>2.9842E-2</v>
      </c>
      <c r="I150">
        <v>0</v>
      </c>
      <c r="J150">
        <v>-0.128217</v>
      </c>
      <c r="K150">
        <v>2.8767510000000001</v>
      </c>
      <c r="L150">
        <v>3.3907440000000002</v>
      </c>
      <c r="M150">
        <v>0.51399300000000003</v>
      </c>
      <c r="N150">
        <v>2.7927170000000001</v>
      </c>
      <c r="O150" t="s">
        <v>55</v>
      </c>
    </row>
    <row r="151" spans="1:15" x14ac:dyDescent="0.3">
      <c r="A151" t="s">
        <v>25</v>
      </c>
      <c r="B151">
        <v>6</v>
      </c>
      <c r="C151">
        <v>9</v>
      </c>
      <c r="D151">
        <v>0.51</v>
      </c>
      <c r="E151">
        <v>-0.92</v>
      </c>
      <c r="F151">
        <v>1</v>
      </c>
      <c r="G151">
        <v>0.90011300000000005</v>
      </c>
      <c r="H151">
        <v>2.3386000000000001E-2</v>
      </c>
      <c r="I151">
        <v>0</v>
      </c>
      <c r="J151">
        <v>-0.13023100000000001</v>
      </c>
      <c r="K151">
        <v>3.3907440000000002</v>
      </c>
      <c r="L151">
        <v>3.7528540000000001</v>
      </c>
      <c r="M151">
        <v>0.36210999999999999</v>
      </c>
      <c r="N151">
        <v>2.7710430000000001</v>
      </c>
      <c r="O151" t="s">
        <v>56</v>
      </c>
    </row>
    <row r="152" spans="1:15" x14ac:dyDescent="0.3">
      <c r="A152" t="s">
        <v>25</v>
      </c>
      <c r="B152">
        <v>7</v>
      </c>
      <c r="C152">
        <v>6</v>
      </c>
      <c r="D152">
        <v>0.33</v>
      </c>
      <c r="E152">
        <v>0.28999999999999998</v>
      </c>
      <c r="F152">
        <v>1</v>
      </c>
      <c r="G152">
        <v>0.75818300000000005</v>
      </c>
      <c r="H152">
        <v>1.9966000000000001E-2</v>
      </c>
      <c r="I152">
        <v>4.4416999999999998E-2</v>
      </c>
      <c r="J152">
        <v>-0.13634099999999999</v>
      </c>
      <c r="K152">
        <v>3.7528540000000001</v>
      </c>
      <c r="L152">
        <v>4</v>
      </c>
      <c r="M152">
        <v>0.247146</v>
      </c>
      <c r="N152">
        <v>2.7082410000000001</v>
      </c>
      <c r="O152" t="s">
        <v>57</v>
      </c>
    </row>
    <row r="153" spans="1:15" x14ac:dyDescent="0.3">
      <c r="A153" t="s">
        <v>25</v>
      </c>
      <c r="B153">
        <v>8</v>
      </c>
      <c r="C153">
        <v>4</v>
      </c>
      <c r="D153">
        <v>0.27</v>
      </c>
      <c r="E153">
        <v>1.45</v>
      </c>
      <c r="F153">
        <v>0</v>
      </c>
      <c r="G153">
        <v>0.66563300000000003</v>
      </c>
      <c r="H153">
        <v>1.6225E-2</v>
      </c>
      <c r="I153">
        <v>0</v>
      </c>
      <c r="J153">
        <v>-0.20091700000000001</v>
      </c>
      <c r="K153">
        <v>4</v>
      </c>
      <c r="L153">
        <v>3.2300360000000001</v>
      </c>
      <c r="M153">
        <v>-0.76996399999999998</v>
      </c>
      <c r="N153">
        <v>2.2309610000000002</v>
      </c>
      <c r="O153" t="s">
        <v>81</v>
      </c>
    </row>
    <row r="154" spans="1:15" x14ac:dyDescent="0.3">
      <c r="A154" t="s">
        <v>25</v>
      </c>
      <c r="B154">
        <v>9</v>
      </c>
      <c r="C154">
        <v>8</v>
      </c>
      <c r="D154">
        <v>0.78</v>
      </c>
      <c r="E154">
        <v>-3</v>
      </c>
      <c r="F154">
        <v>1</v>
      </c>
      <c r="G154">
        <v>0.99230499999999999</v>
      </c>
      <c r="H154">
        <v>4.646E-3</v>
      </c>
      <c r="I154">
        <v>0</v>
      </c>
      <c r="J154">
        <v>-0.20338999999999999</v>
      </c>
      <c r="K154">
        <v>3.2300360000000001</v>
      </c>
      <c r="L154">
        <v>3.2593909999999999</v>
      </c>
      <c r="M154">
        <v>2.9354999999999999E-2</v>
      </c>
      <c r="N154">
        <v>2.2173560000000001</v>
      </c>
      <c r="O154" t="s">
        <v>82</v>
      </c>
    </row>
    <row r="155" spans="1:15" x14ac:dyDescent="0.3">
      <c r="A155" t="s">
        <v>26</v>
      </c>
      <c r="B155">
        <v>1</v>
      </c>
      <c r="C155">
        <v>7</v>
      </c>
      <c r="D155">
        <v>0.71</v>
      </c>
      <c r="E155">
        <v>-0.92</v>
      </c>
      <c r="F155">
        <v>0</v>
      </c>
      <c r="G155">
        <v>0.65773099999999995</v>
      </c>
      <c r="H155">
        <v>0.113483</v>
      </c>
      <c r="I155">
        <v>-7.1668999999999997E-2</v>
      </c>
      <c r="J155">
        <v>-4.5747999999999997E-2</v>
      </c>
      <c r="K155">
        <v>0</v>
      </c>
      <c r="L155">
        <v>-4</v>
      </c>
      <c r="M155">
        <v>-4</v>
      </c>
      <c r="N155">
        <v>4.6753229999999997</v>
      </c>
      <c r="O155">
        <v>7</v>
      </c>
    </row>
    <row r="156" spans="1:15" x14ac:dyDescent="0.3">
      <c r="A156" t="s">
        <v>26</v>
      </c>
      <c r="B156">
        <v>2</v>
      </c>
      <c r="C156">
        <v>8</v>
      </c>
      <c r="D156">
        <v>0.78</v>
      </c>
      <c r="E156">
        <v>-3</v>
      </c>
      <c r="F156">
        <v>1</v>
      </c>
      <c r="G156">
        <v>0.31431999999999999</v>
      </c>
      <c r="H156">
        <v>0.13112399999999999</v>
      </c>
      <c r="I156">
        <v>1.9999999999999999E-6</v>
      </c>
      <c r="J156">
        <v>-0.23935899999999999</v>
      </c>
      <c r="K156">
        <v>-4</v>
      </c>
      <c r="L156">
        <v>-1.916709</v>
      </c>
      <c r="M156">
        <v>2.083291</v>
      </c>
      <c r="N156">
        <v>2.0439720000000001</v>
      </c>
      <c r="O156" t="s">
        <v>61</v>
      </c>
    </row>
    <row r="157" spans="1:15" x14ac:dyDescent="0.3">
      <c r="A157" t="s">
        <v>26</v>
      </c>
      <c r="B157">
        <v>3</v>
      </c>
      <c r="C157">
        <v>1</v>
      </c>
      <c r="D157">
        <v>0.62</v>
      </c>
      <c r="E157">
        <v>-0.49</v>
      </c>
      <c r="F157">
        <v>0</v>
      </c>
      <c r="G157">
        <v>0.29223399999999999</v>
      </c>
      <c r="H157">
        <v>7.9506999999999994E-2</v>
      </c>
      <c r="I157">
        <v>-9.9999999999999995E-7</v>
      </c>
      <c r="J157">
        <v>-0.30678499999999997</v>
      </c>
      <c r="K157">
        <v>-1.916709</v>
      </c>
      <c r="L157">
        <v>-2.4935239999999999</v>
      </c>
      <c r="M157">
        <v>-0.57681499999999997</v>
      </c>
      <c r="N157">
        <v>1.8054399999999999</v>
      </c>
      <c r="O157" t="s">
        <v>62</v>
      </c>
    </row>
    <row r="158" spans="1:15" x14ac:dyDescent="0.3">
      <c r="A158" t="s">
        <v>26</v>
      </c>
      <c r="B158">
        <v>4</v>
      </c>
      <c r="C158">
        <v>9</v>
      </c>
      <c r="D158">
        <v>0.51</v>
      </c>
      <c r="E158">
        <v>-0.92</v>
      </c>
      <c r="F158">
        <v>1</v>
      </c>
      <c r="G158">
        <v>0.30949199999999999</v>
      </c>
      <c r="H158">
        <v>5.5585000000000002E-2</v>
      </c>
      <c r="I158">
        <v>3.0000000000000001E-6</v>
      </c>
      <c r="J158">
        <v>-0.38197500000000001</v>
      </c>
      <c r="K158">
        <v>-2.4935239999999999</v>
      </c>
      <c r="L158">
        <v>-1.556891</v>
      </c>
      <c r="M158">
        <v>0.93663300000000005</v>
      </c>
      <c r="N158">
        <v>1.6180159999999999</v>
      </c>
      <c r="O158" t="s">
        <v>69</v>
      </c>
    </row>
    <row r="159" spans="1:15" x14ac:dyDescent="0.3">
      <c r="A159" t="s">
        <v>26</v>
      </c>
      <c r="B159">
        <v>5</v>
      </c>
      <c r="C159">
        <v>3</v>
      </c>
      <c r="D159">
        <v>0.55000000000000004</v>
      </c>
      <c r="E159">
        <v>-0.28999999999999998</v>
      </c>
      <c r="F159">
        <v>0</v>
      </c>
      <c r="G159">
        <v>0.33252399999999999</v>
      </c>
      <c r="H159">
        <v>6.7140000000000005E-2</v>
      </c>
      <c r="I159">
        <v>0</v>
      </c>
      <c r="J159">
        <v>-0.44059399999999999</v>
      </c>
      <c r="K159">
        <v>-1.556891</v>
      </c>
      <c r="L159">
        <v>-1.96726</v>
      </c>
      <c r="M159">
        <v>-0.41036899999999998</v>
      </c>
      <c r="N159">
        <v>1.50654</v>
      </c>
      <c r="O159" t="s">
        <v>70</v>
      </c>
    </row>
    <row r="160" spans="1:15" x14ac:dyDescent="0.3">
      <c r="A160" t="s">
        <v>26</v>
      </c>
      <c r="B160">
        <v>6</v>
      </c>
      <c r="C160">
        <v>5</v>
      </c>
      <c r="D160">
        <v>0.48</v>
      </c>
      <c r="E160">
        <v>-0.69</v>
      </c>
      <c r="F160">
        <v>0</v>
      </c>
      <c r="G160">
        <v>0.351356</v>
      </c>
      <c r="H160">
        <v>5.2509E-2</v>
      </c>
      <c r="I160">
        <v>-9.9999999999999995E-7</v>
      </c>
      <c r="J160">
        <v>-0.47556199999999998</v>
      </c>
      <c r="K160">
        <v>-1.96726</v>
      </c>
      <c r="L160">
        <v>-2.3150460000000002</v>
      </c>
      <c r="M160">
        <v>-0.34778599999999998</v>
      </c>
      <c r="N160">
        <v>1.4500960000000001</v>
      </c>
      <c r="O160" t="s">
        <v>71</v>
      </c>
    </row>
    <row r="161" spans="1:15" x14ac:dyDescent="0.3">
      <c r="A161" t="s">
        <v>26</v>
      </c>
      <c r="B161">
        <v>7</v>
      </c>
      <c r="C161">
        <v>6</v>
      </c>
      <c r="D161">
        <v>0.33</v>
      </c>
      <c r="E161">
        <v>0.28999999999999998</v>
      </c>
      <c r="F161">
        <v>0</v>
      </c>
      <c r="G161">
        <v>0.29740899999999998</v>
      </c>
      <c r="H161">
        <v>2.2755000000000001E-2</v>
      </c>
      <c r="I161">
        <v>0</v>
      </c>
      <c r="J161">
        <v>-0.48449700000000001</v>
      </c>
      <c r="K161">
        <v>-2.3150460000000002</v>
      </c>
      <c r="L161">
        <v>-2.514694</v>
      </c>
      <c r="M161">
        <v>-0.19964799999999999</v>
      </c>
      <c r="N161">
        <v>1.4366620000000001</v>
      </c>
      <c r="O161" t="s">
        <v>72</v>
      </c>
    </row>
    <row r="162" spans="1:15" x14ac:dyDescent="0.3">
      <c r="A162" t="s">
        <v>26</v>
      </c>
      <c r="B162">
        <v>8</v>
      </c>
      <c r="C162">
        <v>2</v>
      </c>
      <c r="D162">
        <v>0.31</v>
      </c>
      <c r="E162">
        <v>1.1599999999999999</v>
      </c>
      <c r="F162">
        <v>0</v>
      </c>
      <c r="G162">
        <v>0.242476</v>
      </c>
      <c r="H162">
        <v>1.7652000000000001E-2</v>
      </c>
      <c r="I162">
        <v>0</v>
      </c>
      <c r="J162">
        <v>-0.48978899999999997</v>
      </c>
      <c r="K162">
        <v>-2.514694</v>
      </c>
      <c r="L162">
        <v>-2.66622</v>
      </c>
      <c r="M162">
        <v>-0.15152599999999999</v>
      </c>
      <c r="N162">
        <v>1.428879</v>
      </c>
      <c r="O162" t="s">
        <v>73</v>
      </c>
    </row>
    <row r="163" spans="1:15" x14ac:dyDescent="0.3">
      <c r="A163" t="s">
        <v>26</v>
      </c>
      <c r="B163">
        <v>9</v>
      </c>
      <c r="C163">
        <v>4</v>
      </c>
      <c r="D163">
        <v>0.27</v>
      </c>
      <c r="E163">
        <v>1.45</v>
      </c>
      <c r="F163">
        <v>0</v>
      </c>
      <c r="G163">
        <v>0.247614</v>
      </c>
      <c r="H163">
        <v>1.3580999999999999E-2</v>
      </c>
      <c r="I163">
        <v>0</v>
      </c>
      <c r="J163">
        <v>-0.49117499999999997</v>
      </c>
      <c r="K163">
        <v>-2.66622</v>
      </c>
      <c r="L163">
        <v>-2.8006440000000001</v>
      </c>
      <c r="M163">
        <v>-0.13442499999999999</v>
      </c>
      <c r="N163">
        <v>1.4268609999999999</v>
      </c>
      <c r="O163" t="s">
        <v>74</v>
      </c>
    </row>
    <row r="164" spans="1:15" x14ac:dyDescent="0.3">
      <c r="A164" t="s">
        <v>27</v>
      </c>
      <c r="B164">
        <v>1</v>
      </c>
      <c r="C164">
        <v>7</v>
      </c>
      <c r="D164">
        <v>0.71</v>
      </c>
      <c r="E164">
        <v>-0.92</v>
      </c>
      <c r="F164">
        <v>1</v>
      </c>
      <c r="G164">
        <v>0.65773099999999995</v>
      </c>
      <c r="H164">
        <v>0.113483</v>
      </c>
      <c r="I164">
        <v>2.0948999999999999E-2</v>
      </c>
      <c r="J164">
        <v>-1.4435E-2</v>
      </c>
      <c r="K164">
        <v>0</v>
      </c>
      <c r="L164">
        <v>4</v>
      </c>
      <c r="M164">
        <v>4</v>
      </c>
      <c r="N164">
        <v>8.3231490000000008</v>
      </c>
      <c r="O164">
        <v>7</v>
      </c>
    </row>
    <row r="165" spans="1:15" x14ac:dyDescent="0.3">
      <c r="A165" t="s">
        <v>27</v>
      </c>
      <c r="B165">
        <v>2</v>
      </c>
      <c r="C165">
        <v>3</v>
      </c>
      <c r="D165">
        <v>0.55000000000000004</v>
      </c>
      <c r="E165">
        <v>-0.28999999999999998</v>
      </c>
      <c r="F165">
        <v>1</v>
      </c>
      <c r="G165">
        <v>0.913686</v>
      </c>
      <c r="H165">
        <v>2.3855999999999999E-2</v>
      </c>
      <c r="I165">
        <v>6.8421999999999997E-2</v>
      </c>
      <c r="J165">
        <v>-3.8290999999999999E-2</v>
      </c>
      <c r="K165">
        <v>4</v>
      </c>
      <c r="L165">
        <v>4</v>
      </c>
      <c r="M165">
        <v>0</v>
      </c>
      <c r="N165">
        <v>5.1103290000000001</v>
      </c>
      <c r="O165" t="s">
        <v>52</v>
      </c>
    </row>
    <row r="166" spans="1:15" x14ac:dyDescent="0.3">
      <c r="A166" t="s">
        <v>27</v>
      </c>
      <c r="B166">
        <v>3</v>
      </c>
      <c r="C166">
        <v>1</v>
      </c>
      <c r="D166">
        <v>0.62</v>
      </c>
      <c r="E166">
        <v>-0.49</v>
      </c>
      <c r="F166">
        <v>1</v>
      </c>
      <c r="G166">
        <v>0.94179400000000002</v>
      </c>
      <c r="H166">
        <v>2.1072E-2</v>
      </c>
      <c r="I166">
        <v>0.10451000000000001</v>
      </c>
      <c r="J166">
        <v>-5.9364E-2</v>
      </c>
      <c r="K166">
        <v>4</v>
      </c>
      <c r="L166">
        <v>4</v>
      </c>
      <c r="M166">
        <v>0</v>
      </c>
      <c r="N166">
        <v>4.1043099999999999</v>
      </c>
      <c r="O166" t="s">
        <v>53</v>
      </c>
    </row>
    <row r="167" spans="1:15" x14ac:dyDescent="0.3">
      <c r="A167" t="s">
        <v>27</v>
      </c>
      <c r="B167">
        <v>4</v>
      </c>
      <c r="C167">
        <v>2</v>
      </c>
      <c r="D167">
        <v>0.31</v>
      </c>
      <c r="E167">
        <v>1.1599999999999999</v>
      </c>
      <c r="F167">
        <v>0</v>
      </c>
      <c r="G167">
        <v>0.70690500000000001</v>
      </c>
      <c r="H167">
        <v>1.9911000000000002E-2</v>
      </c>
      <c r="I167">
        <v>1.1E-5</v>
      </c>
      <c r="J167">
        <v>-0.12837200000000001</v>
      </c>
      <c r="K167">
        <v>4</v>
      </c>
      <c r="L167">
        <v>2.8767510000000001</v>
      </c>
      <c r="M167">
        <v>-1.1232489999999999</v>
      </c>
      <c r="N167">
        <v>2.791083</v>
      </c>
      <c r="O167" t="s">
        <v>54</v>
      </c>
    </row>
    <row r="168" spans="1:15" x14ac:dyDescent="0.3">
      <c r="A168" t="s">
        <v>27</v>
      </c>
      <c r="B168">
        <v>5</v>
      </c>
      <c r="C168">
        <v>5</v>
      </c>
      <c r="D168">
        <v>0.48</v>
      </c>
      <c r="E168">
        <v>-0.69</v>
      </c>
      <c r="F168">
        <v>1</v>
      </c>
      <c r="G168">
        <v>0.84710099999999999</v>
      </c>
      <c r="H168">
        <v>2.9842E-2</v>
      </c>
      <c r="I168">
        <v>0</v>
      </c>
      <c r="J168">
        <v>-0.128217</v>
      </c>
      <c r="K168">
        <v>2.8767510000000001</v>
      </c>
      <c r="L168">
        <v>3.3907440000000002</v>
      </c>
      <c r="M168">
        <v>0.51399300000000003</v>
      </c>
      <c r="N168">
        <v>2.7927170000000001</v>
      </c>
      <c r="O168" t="s">
        <v>55</v>
      </c>
    </row>
    <row r="169" spans="1:15" x14ac:dyDescent="0.3">
      <c r="A169" t="s">
        <v>27</v>
      </c>
      <c r="B169">
        <v>6</v>
      </c>
      <c r="C169">
        <v>9</v>
      </c>
      <c r="D169">
        <v>0.51</v>
      </c>
      <c r="E169">
        <v>-0.92</v>
      </c>
      <c r="F169">
        <v>1</v>
      </c>
      <c r="G169">
        <v>0.90011300000000005</v>
      </c>
      <c r="H169">
        <v>2.3386000000000001E-2</v>
      </c>
      <c r="I169">
        <v>0</v>
      </c>
      <c r="J169">
        <v>-0.13023100000000001</v>
      </c>
      <c r="K169">
        <v>3.3907440000000002</v>
      </c>
      <c r="L169">
        <v>3.7528540000000001</v>
      </c>
      <c r="M169">
        <v>0.36210999999999999</v>
      </c>
      <c r="N169">
        <v>2.7710430000000001</v>
      </c>
      <c r="O169" t="s">
        <v>56</v>
      </c>
    </row>
    <row r="170" spans="1:15" x14ac:dyDescent="0.3">
      <c r="A170" t="s">
        <v>27</v>
      </c>
      <c r="B170">
        <v>7</v>
      </c>
      <c r="C170">
        <v>6</v>
      </c>
      <c r="D170">
        <v>0.33</v>
      </c>
      <c r="E170">
        <v>0.28999999999999998</v>
      </c>
      <c r="F170">
        <v>1</v>
      </c>
      <c r="G170">
        <v>0.75818300000000005</v>
      </c>
      <c r="H170">
        <v>1.9966000000000001E-2</v>
      </c>
      <c r="I170">
        <v>4.4416999999999998E-2</v>
      </c>
      <c r="J170">
        <v>-0.13634099999999999</v>
      </c>
      <c r="K170">
        <v>3.7528540000000001</v>
      </c>
      <c r="L170">
        <v>4</v>
      </c>
      <c r="M170">
        <v>0.247146</v>
      </c>
      <c r="N170">
        <v>2.7082410000000001</v>
      </c>
      <c r="O170" t="s">
        <v>57</v>
      </c>
    </row>
    <row r="171" spans="1:15" x14ac:dyDescent="0.3">
      <c r="A171" t="s">
        <v>27</v>
      </c>
      <c r="B171">
        <v>8</v>
      </c>
      <c r="C171">
        <v>4</v>
      </c>
      <c r="D171">
        <v>0.27</v>
      </c>
      <c r="E171">
        <v>1.45</v>
      </c>
      <c r="F171">
        <v>0</v>
      </c>
      <c r="G171">
        <v>0.66563300000000003</v>
      </c>
      <c r="H171">
        <v>1.6225E-2</v>
      </c>
      <c r="I171">
        <v>0</v>
      </c>
      <c r="J171">
        <v>-0.20091700000000001</v>
      </c>
      <c r="K171">
        <v>4</v>
      </c>
      <c r="L171">
        <v>3.2300360000000001</v>
      </c>
      <c r="M171">
        <v>-0.76996399999999998</v>
      </c>
      <c r="N171">
        <v>2.2309610000000002</v>
      </c>
      <c r="O171" t="s">
        <v>81</v>
      </c>
    </row>
    <row r="172" spans="1:15" x14ac:dyDescent="0.3">
      <c r="A172" t="s">
        <v>27</v>
      </c>
      <c r="B172">
        <v>9</v>
      </c>
      <c r="C172">
        <v>8</v>
      </c>
      <c r="D172">
        <v>0.78</v>
      </c>
      <c r="E172">
        <v>-3</v>
      </c>
      <c r="F172">
        <v>1</v>
      </c>
      <c r="G172">
        <v>0.99230499999999999</v>
      </c>
      <c r="H172">
        <v>4.646E-3</v>
      </c>
      <c r="I172">
        <v>0</v>
      </c>
      <c r="J172">
        <v>-0.20338999999999999</v>
      </c>
      <c r="K172">
        <v>3.2300360000000001</v>
      </c>
      <c r="L172">
        <v>3.2593909999999999</v>
      </c>
      <c r="M172">
        <v>2.9354999999999999E-2</v>
      </c>
      <c r="N172">
        <v>2.2173560000000001</v>
      </c>
      <c r="O172" t="s">
        <v>82</v>
      </c>
    </row>
    <row r="173" spans="1:15" x14ac:dyDescent="0.3">
      <c r="A173" t="s">
        <v>28</v>
      </c>
      <c r="B173">
        <v>1</v>
      </c>
      <c r="C173">
        <v>7</v>
      </c>
      <c r="D173">
        <v>0.71</v>
      </c>
      <c r="E173">
        <v>-0.92</v>
      </c>
      <c r="F173">
        <v>0</v>
      </c>
      <c r="G173">
        <v>0.65773099999999995</v>
      </c>
      <c r="H173">
        <v>0.113483</v>
      </c>
      <c r="I173">
        <v>-7.1668999999999997E-2</v>
      </c>
      <c r="J173">
        <v>-4.5747999999999997E-2</v>
      </c>
      <c r="K173">
        <v>0</v>
      </c>
      <c r="L173">
        <v>-4</v>
      </c>
      <c r="M173">
        <v>-4</v>
      </c>
      <c r="N173">
        <v>4.6753229999999997</v>
      </c>
      <c r="O173">
        <v>7</v>
      </c>
    </row>
    <row r="174" spans="1:15" x14ac:dyDescent="0.3">
      <c r="A174" t="s">
        <v>28</v>
      </c>
      <c r="B174">
        <v>2</v>
      </c>
      <c r="C174">
        <v>8</v>
      </c>
      <c r="D174">
        <v>0.78</v>
      </c>
      <c r="E174">
        <v>-3</v>
      </c>
      <c r="F174">
        <v>1</v>
      </c>
      <c r="G174">
        <v>0.31431999999999999</v>
      </c>
      <c r="H174">
        <v>0.13112399999999999</v>
      </c>
      <c r="I174">
        <v>1.9999999999999999E-6</v>
      </c>
      <c r="J174">
        <v>-0.23935899999999999</v>
      </c>
      <c r="K174">
        <v>-4</v>
      </c>
      <c r="L174">
        <v>-1.916709</v>
      </c>
      <c r="M174">
        <v>2.083291</v>
      </c>
      <c r="N174">
        <v>2.0439720000000001</v>
      </c>
      <c r="O174" t="s">
        <v>61</v>
      </c>
    </row>
    <row r="175" spans="1:15" x14ac:dyDescent="0.3">
      <c r="A175" t="s">
        <v>28</v>
      </c>
      <c r="B175">
        <v>3</v>
      </c>
      <c r="C175">
        <v>1</v>
      </c>
      <c r="D175">
        <v>0.62</v>
      </c>
      <c r="E175">
        <v>-0.49</v>
      </c>
      <c r="F175">
        <v>0</v>
      </c>
      <c r="G175">
        <v>0.29223399999999999</v>
      </c>
      <c r="H175">
        <v>7.9506999999999994E-2</v>
      </c>
      <c r="I175">
        <v>-9.9999999999999995E-7</v>
      </c>
      <c r="J175">
        <v>-0.30678499999999997</v>
      </c>
      <c r="K175">
        <v>-1.916709</v>
      </c>
      <c r="L175">
        <v>-2.4935239999999999</v>
      </c>
      <c r="M175">
        <v>-0.57681499999999997</v>
      </c>
      <c r="N175">
        <v>1.8054399999999999</v>
      </c>
      <c r="O175" t="s">
        <v>62</v>
      </c>
    </row>
    <row r="176" spans="1:15" x14ac:dyDescent="0.3">
      <c r="A176" t="s">
        <v>28</v>
      </c>
      <c r="B176">
        <v>4</v>
      </c>
      <c r="C176">
        <v>9</v>
      </c>
      <c r="D176">
        <v>0.51</v>
      </c>
      <c r="E176">
        <v>-0.92</v>
      </c>
      <c r="F176">
        <v>0</v>
      </c>
      <c r="G176">
        <v>0.30949199999999999</v>
      </c>
      <c r="H176">
        <v>5.5585000000000002E-2</v>
      </c>
      <c r="I176">
        <v>-6.9999999999999999E-6</v>
      </c>
      <c r="J176">
        <v>-0.337173</v>
      </c>
      <c r="K176">
        <v>-2.4935239999999999</v>
      </c>
      <c r="L176">
        <v>-2.9437679999999999</v>
      </c>
      <c r="M176">
        <v>-0.45024399999999998</v>
      </c>
      <c r="N176">
        <v>1.722164</v>
      </c>
      <c r="O176" t="s">
        <v>69</v>
      </c>
    </row>
    <row r="177" spans="1:15" x14ac:dyDescent="0.3">
      <c r="A177" t="s">
        <v>28</v>
      </c>
      <c r="B177">
        <v>5</v>
      </c>
      <c r="C177">
        <v>3</v>
      </c>
      <c r="D177">
        <v>0.55000000000000004</v>
      </c>
      <c r="E177">
        <v>-0.28999999999999998</v>
      </c>
      <c r="F177">
        <v>0</v>
      </c>
      <c r="G177">
        <v>0.18853300000000001</v>
      </c>
      <c r="H177">
        <v>4.6279000000000001E-2</v>
      </c>
      <c r="I177">
        <v>-3.9999999999999998E-6</v>
      </c>
      <c r="J177">
        <v>-0.35899199999999998</v>
      </c>
      <c r="K177">
        <v>-2.9437679999999999</v>
      </c>
      <c r="L177">
        <v>-3.2229130000000001</v>
      </c>
      <c r="M177">
        <v>-0.27914499999999998</v>
      </c>
      <c r="N177">
        <v>1.669006</v>
      </c>
      <c r="O177" t="s">
        <v>70</v>
      </c>
    </row>
    <row r="178" spans="1:15" x14ac:dyDescent="0.3">
      <c r="A178" t="s">
        <v>28</v>
      </c>
      <c r="B178">
        <v>6</v>
      </c>
      <c r="C178">
        <v>5</v>
      </c>
      <c r="D178">
        <v>0.48</v>
      </c>
      <c r="E178">
        <v>-0.69</v>
      </c>
      <c r="F178">
        <v>0</v>
      </c>
      <c r="G178">
        <v>0.22867699999999999</v>
      </c>
      <c r="H178">
        <v>4.0639000000000002E-2</v>
      </c>
      <c r="I178">
        <v>-6.9999999999999999E-6</v>
      </c>
      <c r="J178">
        <v>-0.36891499999999999</v>
      </c>
      <c r="K178">
        <v>-3.2229130000000001</v>
      </c>
      <c r="L178">
        <v>-3.5084140000000001</v>
      </c>
      <c r="M178">
        <v>-0.285501</v>
      </c>
      <c r="N178">
        <v>1.6464110000000001</v>
      </c>
      <c r="O178" t="s">
        <v>71</v>
      </c>
    </row>
    <row r="179" spans="1:15" x14ac:dyDescent="0.3">
      <c r="A179" t="s">
        <v>28</v>
      </c>
      <c r="B179">
        <v>7</v>
      </c>
      <c r="C179">
        <v>6</v>
      </c>
      <c r="D179">
        <v>0.33</v>
      </c>
      <c r="E179">
        <v>0.28999999999999998</v>
      </c>
      <c r="F179">
        <v>0</v>
      </c>
      <c r="G179">
        <v>0.22209899999999999</v>
      </c>
      <c r="H179">
        <v>1.8814999999999998E-2</v>
      </c>
      <c r="I179">
        <v>-1.9999999999999999E-6</v>
      </c>
      <c r="J179">
        <v>-0.365004</v>
      </c>
      <c r="K179">
        <v>-3.5084140000000001</v>
      </c>
      <c r="L179">
        <v>-3.7031230000000002</v>
      </c>
      <c r="M179">
        <v>-0.19470799999999999</v>
      </c>
      <c r="N179">
        <v>1.6552039999999999</v>
      </c>
      <c r="O179" t="s">
        <v>72</v>
      </c>
    </row>
    <row r="180" spans="1:15" x14ac:dyDescent="0.3">
      <c r="A180" t="s">
        <v>28</v>
      </c>
      <c r="B180">
        <v>8</v>
      </c>
      <c r="C180">
        <v>2</v>
      </c>
      <c r="D180">
        <v>0.31</v>
      </c>
      <c r="E180">
        <v>1.1599999999999999</v>
      </c>
      <c r="F180">
        <v>1</v>
      </c>
      <c r="G180">
        <v>0.18129899999999999</v>
      </c>
      <c r="H180">
        <v>1.4264000000000001E-2</v>
      </c>
      <c r="I180">
        <v>0</v>
      </c>
      <c r="J180">
        <v>-0.449133</v>
      </c>
      <c r="K180">
        <v>-3.7031230000000002</v>
      </c>
      <c r="L180">
        <v>-3.0916199999999998</v>
      </c>
      <c r="M180">
        <v>0.61150300000000002</v>
      </c>
      <c r="N180">
        <v>1.4921500000000001</v>
      </c>
      <c r="O180" t="s">
        <v>73</v>
      </c>
    </row>
    <row r="181" spans="1:15" x14ac:dyDescent="0.3">
      <c r="A181" t="s">
        <v>28</v>
      </c>
      <c r="B181">
        <v>9</v>
      </c>
      <c r="C181">
        <v>4</v>
      </c>
      <c r="D181">
        <v>0.27</v>
      </c>
      <c r="E181">
        <v>1.45</v>
      </c>
      <c r="F181">
        <v>0</v>
      </c>
      <c r="G181">
        <v>0.22684099999999999</v>
      </c>
      <c r="H181">
        <v>1.2784999999999999E-2</v>
      </c>
      <c r="I181">
        <v>0</v>
      </c>
      <c r="J181">
        <v>-0.447212</v>
      </c>
      <c r="K181">
        <v>-3.0916199999999998</v>
      </c>
      <c r="L181">
        <v>-3.2263410000000001</v>
      </c>
      <c r="M181">
        <v>-0.13472100000000001</v>
      </c>
      <c r="N181">
        <v>1.495352</v>
      </c>
      <c r="O181" t="s">
        <v>74</v>
      </c>
    </row>
    <row r="182" spans="1:15" x14ac:dyDescent="0.3">
      <c r="A182" t="s">
        <v>29</v>
      </c>
      <c r="B182">
        <v>1</v>
      </c>
      <c r="C182">
        <v>7</v>
      </c>
      <c r="D182">
        <v>0.71</v>
      </c>
      <c r="E182">
        <v>-0.92</v>
      </c>
      <c r="F182">
        <v>1</v>
      </c>
      <c r="G182">
        <v>0.65773099999999995</v>
      </c>
      <c r="H182">
        <v>0.113483</v>
      </c>
      <c r="I182">
        <v>2.0948999999999999E-2</v>
      </c>
      <c r="J182">
        <v>-1.4435E-2</v>
      </c>
      <c r="K182">
        <v>0</v>
      </c>
      <c r="L182">
        <v>4</v>
      </c>
      <c r="M182">
        <v>4</v>
      </c>
      <c r="N182">
        <v>8.3231490000000008</v>
      </c>
      <c r="O182">
        <v>7</v>
      </c>
    </row>
    <row r="183" spans="1:15" x14ac:dyDescent="0.3">
      <c r="A183" t="s">
        <v>29</v>
      </c>
      <c r="B183">
        <v>2</v>
      </c>
      <c r="C183">
        <v>3</v>
      </c>
      <c r="D183">
        <v>0.55000000000000004</v>
      </c>
      <c r="E183">
        <v>-0.28999999999999998</v>
      </c>
      <c r="F183">
        <v>1</v>
      </c>
      <c r="G183">
        <v>0.913686</v>
      </c>
      <c r="H183">
        <v>2.3855999999999999E-2</v>
      </c>
      <c r="I183">
        <v>6.8421999999999997E-2</v>
      </c>
      <c r="J183">
        <v>-3.8290999999999999E-2</v>
      </c>
      <c r="K183">
        <v>4</v>
      </c>
      <c r="L183">
        <v>4</v>
      </c>
      <c r="M183">
        <v>0</v>
      </c>
      <c r="N183">
        <v>5.1103290000000001</v>
      </c>
      <c r="O183" t="s">
        <v>52</v>
      </c>
    </row>
    <row r="184" spans="1:15" x14ac:dyDescent="0.3">
      <c r="A184" t="s">
        <v>29</v>
      </c>
      <c r="B184">
        <v>3</v>
      </c>
      <c r="C184">
        <v>1</v>
      </c>
      <c r="D184">
        <v>0.62</v>
      </c>
      <c r="E184">
        <v>-0.49</v>
      </c>
      <c r="F184">
        <v>1</v>
      </c>
      <c r="G184">
        <v>0.94179400000000002</v>
      </c>
      <c r="H184">
        <v>2.1072E-2</v>
      </c>
      <c r="I184">
        <v>0.10451000000000001</v>
      </c>
      <c r="J184">
        <v>-5.9364E-2</v>
      </c>
      <c r="K184">
        <v>4</v>
      </c>
      <c r="L184">
        <v>4</v>
      </c>
      <c r="M184">
        <v>0</v>
      </c>
      <c r="N184">
        <v>4.1043099999999999</v>
      </c>
      <c r="O184" t="s">
        <v>53</v>
      </c>
    </row>
    <row r="185" spans="1:15" x14ac:dyDescent="0.3">
      <c r="A185" t="s">
        <v>29</v>
      </c>
      <c r="B185">
        <v>4</v>
      </c>
      <c r="C185">
        <v>2</v>
      </c>
      <c r="D185">
        <v>0.31</v>
      </c>
      <c r="E185">
        <v>1.1599999999999999</v>
      </c>
      <c r="F185">
        <v>0</v>
      </c>
      <c r="G185">
        <v>0.70690500000000001</v>
      </c>
      <c r="H185">
        <v>1.9911000000000002E-2</v>
      </c>
      <c r="I185">
        <v>1.1E-5</v>
      </c>
      <c r="J185">
        <v>-0.12837200000000001</v>
      </c>
      <c r="K185">
        <v>4</v>
      </c>
      <c r="L185">
        <v>2.8767510000000001</v>
      </c>
      <c r="M185">
        <v>-1.1232489999999999</v>
      </c>
      <c r="N185">
        <v>2.791083</v>
      </c>
      <c r="O185" t="s">
        <v>54</v>
      </c>
    </row>
    <row r="186" spans="1:15" x14ac:dyDescent="0.3">
      <c r="A186" t="s">
        <v>29</v>
      </c>
      <c r="B186">
        <v>5</v>
      </c>
      <c r="C186">
        <v>5</v>
      </c>
      <c r="D186">
        <v>0.48</v>
      </c>
      <c r="E186">
        <v>-0.69</v>
      </c>
      <c r="F186">
        <v>1</v>
      </c>
      <c r="G186">
        <v>0.84710099999999999</v>
      </c>
      <c r="H186">
        <v>2.9842E-2</v>
      </c>
      <c r="I186">
        <v>0</v>
      </c>
      <c r="J186">
        <v>-0.128217</v>
      </c>
      <c r="K186">
        <v>2.8767510000000001</v>
      </c>
      <c r="L186">
        <v>3.3907440000000002</v>
      </c>
      <c r="M186">
        <v>0.51399300000000003</v>
      </c>
      <c r="N186">
        <v>2.7927170000000001</v>
      </c>
      <c r="O186" t="s">
        <v>55</v>
      </c>
    </row>
    <row r="187" spans="1:15" x14ac:dyDescent="0.3">
      <c r="A187" t="s">
        <v>29</v>
      </c>
      <c r="B187">
        <v>6</v>
      </c>
      <c r="C187">
        <v>9</v>
      </c>
      <c r="D187">
        <v>0.51</v>
      </c>
      <c r="E187">
        <v>-0.92</v>
      </c>
      <c r="F187">
        <v>1</v>
      </c>
      <c r="G187">
        <v>0.90011300000000005</v>
      </c>
      <c r="H187">
        <v>2.3386000000000001E-2</v>
      </c>
      <c r="I187">
        <v>0</v>
      </c>
      <c r="J187">
        <v>-0.13023100000000001</v>
      </c>
      <c r="K187">
        <v>3.3907440000000002</v>
      </c>
      <c r="L187">
        <v>3.7528540000000001</v>
      </c>
      <c r="M187">
        <v>0.36210999999999999</v>
      </c>
      <c r="N187">
        <v>2.7710430000000001</v>
      </c>
      <c r="O187" t="s">
        <v>56</v>
      </c>
    </row>
    <row r="188" spans="1:15" x14ac:dyDescent="0.3">
      <c r="A188" t="s">
        <v>29</v>
      </c>
      <c r="B188">
        <v>7</v>
      </c>
      <c r="C188">
        <v>6</v>
      </c>
      <c r="D188">
        <v>0.33</v>
      </c>
      <c r="E188">
        <v>0.28999999999999998</v>
      </c>
      <c r="F188">
        <v>1</v>
      </c>
      <c r="G188">
        <v>0.75818300000000005</v>
      </c>
      <c r="H188">
        <v>1.9966000000000001E-2</v>
      </c>
      <c r="I188">
        <v>4.4416999999999998E-2</v>
      </c>
      <c r="J188">
        <v>-0.13634099999999999</v>
      </c>
      <c r="K188">
        <v>3.7528540000000001</v>
      </c>
      <c r="L188">
        <v>4</v>
      </c>
      <c r="M188">
        <v>0.247146</v>
      </c>
      <c r="N188">
        <v>2.7082410000000001</v>
      </c>
      <c r="O188" t="s">
        <v>57</v>
      </c>
    </row>
    <row r="189" spans="1:15" x14ac:dyDescent="0.3">
      <c r="A189" t="s">
        <v>29</v>
      </c>
      <c r="B189">
        <v>8</v>
      </c>
      <c r="C189">
        <v>4</v>
      </c>
      <c r="D189">
        <v>0.27</v>
      </c>
      <c r="E189">
        <v>1.45</v>
      </c>
      <c r="F189">
        <v>0</v>
      </c>
      <c r="G189">
        <v>0.66563300000000003</v>
      </c>
      <c r="H189">
        <v>1.6225E-2</v>
      </c>
      <c r="I189">
        <v>0</v>
      </c>
      <c r="J189">
        <v>-0.20091700000000001</v>
      </c>
      <c r="K189">
        <v>4</v>
      </c>
      <c r="L189">
        <v>3.2300360000000001</v>
      </c>
      <c r="M189">
        <v>-0.76996399999999998</v>
      </c>
      <c r="N189">
        <v>2.2309610000000002</v>
      </c>
      <c r="O189" t="s">
        <v>81</v>
      </c>
    </row>
    <row r="190" spans="1:15" x14ac:dyDescent="0.3">
      <c r="A190" t="s">
        <v>29</v>
      </c>
      <c r="B190">
        <v>9</v>
      </c>
      <c r="C190">
        <v>8</v>
      </c>
      <c r="D190">
        <v>0.78</v>
      </c>
      <c r="E190">
        <v>-3</v>
      </c>
      <c r="F190">
        <v>1</v>
      </c>
      <c r="G190">
        <v>0.99230499999999999</v>
      </c>
      <c r="H190">
        <v>4.646E-3</v>
      </c>
      <c r="I190">
        <v>0</v>
      </c>
      <c r="J190">
        <v>-0.20338999999999999</v>
      </c>
      <c r="K190">
        <v>3.2300360000000001</v>
      </c>
      <c r="L190">
        <v>3.2593909999999999</v>
      </c>
      <c r="M190">
        <v>2.9354999999999999E-2</v>
      </c>
      <c r="N190">
        <v>2.2173560000000001</v>
      </c>
      <c r="O190" t="s">
        <v>82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Initial Data</vt:lpstr>
      <vt:lpstr>Data</vt:lpstr>
      <vt:lpstr>Bank</vt:lpstr>
      <vt:lpstr>CAT_Result</vt:lpstr>
      <vt:lpstr>CAT_Log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karina</dc:creator>
  <cp:lastModifiedBy>karina</cp:lastModifiedBy>
  <dcterms:created xsi:type="dcterms:W3CDTF">2025-12-07T11:41:42Z</dcterms:created>
  <dcterms:modified xsi:type="dcterms:W3CDTF">2025-12-17T12:27:46Z</dcterms:modified>
</cp:coreProperties>
</file>