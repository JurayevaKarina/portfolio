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karina\Desktop\Курсовая2025\"/>
    </mc:Choice>
  </mc:AlternateContent>
  <bookViews>
    <workbookView xWindow="0" yWindow="0" windowWidth="6912" windowHeight="9144" activeTab="1"/>
  </bookViews>
  <sheets>
    <sheet name="Расширенная матрица" sheetId="1" r:id="rId1"/>
    <sheet name="CAT_simulation" sheetId="6" r:id="rId2"/>
    <sheet name="Bank of Items" sheetId="5" r:id="rId3"/>
    <sheet name="Результат_CAT" sheetId="8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5" l="1"/>
  <c r="B9" i="5"/>
  <c r="B8" i="5"/>
  <c r="B7" i="5"/>
  <c r="B6" i="5"/>
  <c r="B5" i="5"/>
  <c r="B4" i="5"/>
  <c r="B3" i="5"/>
  <c r="B2" i="5"/>
  <c r="I26" i="1" l="1"/>
  <c r="H26" i="1"/>
  <c r="G26" i="1"/>
  <c r="F26" i="1"/>
  <c r="E26" i="1"/>
  <c r="D26" i="1"/>
  <c r="C26" i="1"/>
  <c r="B26" i="1"/>
  <c r="A26" i="1"/>
  <c r="I24" i="1"/>
  <c r="H24" i="1"/>
  <c r="G24" i="1"/>
  <c r="F24" i="1"/>
  <c r="E24" i="1"/>
  <c r="D24" i="1"/>
  <c r="C24" i="1"/>
  <c r="A24" i="1"/>
  <c r="B24" i="1"/>
</calcChain>
</file>

<file path=xl/sharedStrings.xml><?xml version="1.0" encoding="utf-8"?>
<sst xmlns="http://schemas.openxmlformats.org/spreadsheetml/2006/main" count="685" uniqueCount="53">
  <si>
    <t>Студ/Зад</t>
  </si>
  <si>
    <t>p_j</t>
  </si>
  <si>
    <t>b_j</t>
  </si>
  <si>
    <t>Студент</t>
  </si>
  <si>
    <t>Задание</t>
  </si>
  <si>
    <t>Текс вопроса</t>
  </si>
  <si>
    <t>Тема</t>
  </si>
  <si>
    <t>Докажите, что f(x) = x^3-3x имеет экстремум в точке x = 1</t>
  </si>
  <si>
    <t>Решите неравенство: x-2/x+3&gt;0</t>
  </si>
  <si>
    <t>Решите систему: x+y=5; 2x-y=1</t>
  </si>
  <si>
    <t>Вычислите:7*(4+2)</t>
  </si>
  <si>
    <t>Алгебра</t>
  </si>
  <si>
    <t>Математический анализ</t>
  </si>
  <si>
    <t>Арифметика</t>
  </si>
  <si>
    <t>Геометрия</t>
  </si>
  <si>
    <t>Итерация</t>
  </si>
  <si>
    <t>Выбранное задание</t>
  </si>
  <si>
    <t>θ студента</t>
  </si>
  <si>
    <t>Результат</t>
  </si>
  <si>
    <t>Чему равно 3^2?</t>
  </si>
  <si>
    <t>Сколько градусов в прямом угле?</t>
  </si>
  <si>
    <t>"сложно задание"</t>
  </si>
  <si>
    <t>"среднее задание"</t>
  </si>
  <si>
    <t>" легкое задание"</t>
  </si>
  <si>
    <t xml:space="preserve">"Решите уравнение: 2x + 3 = 11"  </t>
  </si>
  <si>
    <t>"Найдите предел: lim x-&gt;0 sin(3x)/x"</t>
  </si>
  <si>
    <t>"Найдите производную функции f(x) = 3x² + ln(x)"</t>
  </si>
  <si>
    <t>Вопрос</t>
  </si>
  <si>
    <t>Студент 1</t>
  </si>
  <si>
    <t>Студент 2</t>
  </si>
  <si>
    <t>Студент 3</t>
  </si>
  <si>
    <t>Студент 4</t>
  </si>
  <si>
    <t>Студент 5</t>
  </si>
  <si>
    <t>Студент 6</t>
  </si>
  <si>
    <t>Студент 7</t>
  </si>
  <si>
    <t>Студент 8</t>
  </si>
  <si>
    <t>Студент 9</t>
  </si>
  <si>
    <t>Студент 10</t>
  </si>
  <si>
    <t>Студент 11</t>
  </si>
  <si>
    <t>Студент 12</t>
  </si>
  <si>
    <t>Студент 13</t>
  </si>
  <si>
    <t>Студент 14</t>
  </si>
  <si>
    <t>Студент 15</t>
  </si>
  <si>
    <t>Студент 16</t>
  </si>
  <si>
    <t>Студент 17</t>
  </si>
  <si>
    <t>Студент 18</t>
  </si>
  <si>
    <t>Студент 19</t>
  </si>
  <si>
    <t>Студент 20</t>
  </si>
  <si>
    <t xml:space="preserve">   P(θ,b)</t>
  </si>
  <si>
    <t xml:space="preserve">    b_j</t>
  </si>
  <si>
    <t>Студент/Задание</t>
  </si>
  <si>
    <t>-</t>
  </si>
  <si>
    <t>Студент 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</si>
</sst>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3" borderId="6" xfId="0" applyFill="1" applyBorder="1"/>
    <xf numFmtId="0" fontId="0" fillId="0" borderId="3" xfId="0" applyBorder="1" applyAlignment="1">
      <alignment horizontal="center" wrapText="1"/>
    </xf>
    <xf numFmtId="0" fontId="0" fillId="0" borderId="3" xfId="0" applyBorder="1" applyAlignment="1">
      <alignment wrapText="1"/>
    </xf>
    <xf numFmtId="0" fontId="1" fillId="5" borderId="5" xfId="0" applyFont="1" applyFill="1" applyBorder="1"/>
    <xf numFmtId="0" fontId="1" fillId="5" borderId="6" xfId="0" applyFont="1" applyFill="1" applyBorder="1"/>
    <xf numFmtId="0" fontId="1" fillId="5" borderId="4" xfId="0" applyFont="1" applyFill="1" applyBorder="1"/>
    <xf numFmtId="0" fontId="1" fillId="5" borderId="2" xfId="0" applyFont="1" applyFill="1" applyBorder="1"/>
    <xf numFmtId="0" fontId="0" fillId="5" borderId="0" xfId="0" applyFill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26"/>
  <sheetViews>
    <sheetView workbookViewId="0">
      <selection activeCell="E28" sqref="E28"/>
    </sheetView>
  </sheetViews>
  <sheetFormatPr defaultRowHeight="14.4" x14ac:dyDescent="0.3"/>
  <sheetData>
    <row r="1" spans="1:9" x14ac:dyDescent="0.3">
      <c r="A1" t="s">
        <v>0</v>
      </c>
    </row>
    <row r="2" spans="1:9" x14ac:dyDescent="0.3">
      <c r="A2">
        <v>0</v>
      </c>
      <c r="B2">
        <v>0</v>
      </c>
      <c r="C2">
        <v>1</v>
      </c>
      <c r="D2">
        <v>0</v>
      </c>
      <c r="E2">
        <v>1</v>
      </c>
      <c r="F2">
        <v>0</v>
      </c>
      <c r="G2">
        <v>1</v>
      </c>
      <c r="H2">
        <v>1</v>
      </c>
      <c r="I2">
        <v>1</v>
      </c>
    </row>
    <row r="3" spans="1:9" x14ac:dyDescent="0.3">
      <c r="A3">
        <v>1</v>
      </c>
      <c r="B3">
        <v>0</v>
      </c>
      <c r="C3">
        <v>0</v>
      </c>
      <c r="D3">
        <v>1</v>
      </c>
      <c r="E3">
        <v>1</v>
      </c>
      <c r="F3">
        <v>0</v>
      </c>
      <c r="G3">
        <v>0</v>
      </c>
      <c r="H3">
        <v>1</v>
      </c>
      <c r="I3">
        <v>1</v>
      </c>
    </row>
    <row r="4" spans="1:9" x14ac:dyDescent="0.3">
      <c r="A4">
        <v>0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1</v>
      </c>
      <c r="I4">
        <v>0</v>
      </c>
    </row>
    <row r="5" spans="1:9" x14ac:dyDescent="0.3">
      <c r="A5">
        <v>0</v>
      </c>
      <c r="B5">
        <v>0</v>
      </c>
      <c r="C5">
        <v>0</v>
      </c>
      <c r="D5">
        <v>0</v>
      </c>
      <c r="E5">
        <v>1</v>
      </c>
      <c r="F5">
        <v>0</v>
      </c>
      <c r="G5">
        <v>1</v>
      </c>
      <c r="H5">
        <v>0</v>
      </c>
      <c r="I5">
        <v>1</v>
      </c>
    </row>
    <row r="6" spans="1:9" x14ac:dyDescent="0.3">
      <c r="A6">
        <v>1</v>
      </c>
      <c r="B6">
        <v>0</v>
      </c>
      <c r="C6">
        <v>0</v>
      </c>
      <c r="D6">
        <v>0</v>
      </c>
      <c r="E6">
        <v>1</v>
      </c>
      <c r="F6">
        <v>0</v>
      </c>
      <c r="G6">
        <v>0</v>
      </c>
      <c r="H6">
        <v>1</v>
      </c>
      <c r="I6">
        <v>0</v>
      </c>
    </row>
    <row r="7" spans="1:9" x14ac:dyDescent="0.3">
      <c r="A7">
        <v>1</v>
      </c>
      <c r="B7">
        <v>1</v>
      </c>
      <c r="C7">
        <v>1</v>
      </c>
      <c r="D7">
        <v>0</v>
      </c>
      <c r="E7">
        <v>0</v>
      </c>
      <c r="F7">
        <v>0</v>
      </c>
      <c r="G7">
        <v>1</v>
      </c>
      <c r="H7">
        <v>1</v>
      </c>
      <c r="I7">
        <v>1</v>
      </c>
    </row>
    <row r="8" spans="1:9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</row>
    <row r="9" spans="1:9" x14ac:dyDescent="0.3">
      <c r="A9">
        <v>1</v>
      </c>
      <c r="B9">
        <v>0</v>
      </c>
      <c r="C9">
        <v>1</v>
      </c>
      <c r="D9">
        <v>1</v>
      </c>
      <c r="E9">
        <v>0</v>
      </c>
      <c r="F9">
        <v>1</v>
      </c>
      <c r="G9">
        <v>1</v>
      </c>
      <c r="H9">
        <v>1</v>
      </c>
      <c r="I9">
        <v>1</v>
      </c>
    </row>
    <row r="10" spans="1:9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1</v>
      </c>
      <c r="H10">
        <v>1</v>
      </c>
      <c r="I10">
        <v>0</v>
      </c>
    </row>
    <row r="11" spans="1:9" x14ac:dyDescent="0.3">
      <c r="A11">
        <v>1</v>
      </c>
      <c r="B11">
        <v>0</v>
      </c>
      <c r="C11">
        <v>1</v>
      </c>
      <c r="D11">
        <v>0</v>
      </c>
      <c r="E11">
        <v>1</v>
      </c>
      <c r="F11">
        <v>1</v>
      </c>
      <c r="G11">
        <v>1</v>
      </c>
      <c r="H11">
        <v>1</v>
      </c>
      <c r="I11">
        <v>1</v>
      </c>
    </row>
    <row r="12" spans="1:9" x14ac:dyDescent="0.3">
      <c r="A12">
        <v>1</v>
      </c>
      <c r="B12">
        <v>1</v>
      </c>
      <c r="C12">
        <v>1</v>
      </c>
      <c r="D12">
        <v>0</v>
      </c>
      <c r="E12">
        <v>1</v>
      </c>
      <c r="F12">
        <v>1</v>
      </c>
      <c r="G12">
        <v>1</v>
      </c>
      <c r="H12">
        <v>1</v>
      </c>
      <c r="I12">
        <v>1</v>
      </c>
    </row>
    <row r="13" spans="1:9" x14ac:dyDescent="0.3">
      <c r="A13">
        <v>1</v>
      </c>
      <c r="B13">
        <v>0</v>
      </c>
      <c r="C13">
        <v>1</v>
      </c>
      <c r="D13">
        <v>0</v>
      </c>
      <c r="E13">
        <v>1</v>
      </c>
      <c r="F13">
        <v>0</v>
      </c>
      <c r="G13">
        <v>1</v>
      </c>
      <c r="H13">
        <v>1</v>
      </c>
      <c r="I13">
        <v>1</v>
      </c>
    </row>
    <row r="14" spans="1:9" x14ac:dyDescent="0.3">
      <c r="A14">
        <v>0</v>
      </c>
      <c r="B14">
        <v>0</v>
      </c>
      <c r="C14">
        <v>1</v>
      </c>
      <c r="D14">
        <v>0</v>
      </c>
      <c r="E14">
        <v>1</v>
      </c>
      <c r="F14">
        <v>1</v>
      </c>
      <c r="G14">
        <v>1</v>
      </c>
      <c r="H14">
        <v>1</v>
      </c>
      <c r="I14">
        <v>1</v>
      </c>
    </row>
    <row r="15" spans="1:9" x14ac:dyDescent="0.3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1</v>
      </c>
      <c r="H15">
        <v>1</v>
      </c>
      <c r="I15">
        <v>0</v>
      </c>
    </row>
    <row r="16" spans="1:9" x14ac:dyDescent="0.3">
      <c r="A16">
        <v>1</v>
      </c>
      <c r="B16">
        <v>1</v>
      </c>
      <c r="C16">
        <v>1</v>
      </c>
      <c r="D16">
        <v>0</v>
      </c>
      <c r="E16">
        <v>1</v>
      </c>
      <c r="F16">
        <v>0</v>
      </c>
      <c r="G16">
        <v>1</v>
      </c>
      <c r="H16">
        <v>1</v>
      </c>
      <c r="I16">
        <v>1</v>
      </c>
    </row>
    <row r="17" spans="1:9" x14ac:dyDescent="0.3">
      <c r="A17">
        <v>0</v>
      </c>
      <c r="B17">
        <v>0</v>
      </c>
      <c r="C17">
        <v>0</v>
      </c>
      <c r="D17">
        <v>1</v>
      </c>
      <c r="E17">
        <v>1</v>
      </c>
      <c r="F17">
        <v>0</v>
      </c>
      <c r="G17">
        <v>0</v>
      </c>
      <c r="H17">
        <v>1</v>
      </c>
      <c r="I17">
        <v>0</v>
      </c>
    </row>
    <row r="18" spans="1:9" x14ac:dyDescent="0.3">
      <c r="A18">
        <v>1</v>
      </c>
      <c r="B18">
        <v>0</v>
      </c>
      <c r="C18">
        <v>1</v>
      </c>
      <c r="D18">
        <v>0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1</v>
      </c>
      <c r="I19">
        <v>1</v>
      </c>
    </row>
    <row r="20" spans="1:9" x14ac:dyDescent="0.3">
      <c r="A20">
        <v>1</v>
      </c>
      <c r="B20">
        <v>0</v>
      </c>
      <c r="C20">
        <v>1</v>
      </c>
      <c r="D20">
        <v>0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 x14ac:dyDescent="0.3">
      <c r="A21">
        <v>0</v>
      </c>
      <c r="B21">
        <v>1</v>
      </c>
      <c r="C21">
        <v>0</v>
      </c>
      <c r="D21">
        <v>0</v>
      </c>
      <c r="E21">
        <v>0</v>
      </c>
      <c r="F21">
        <v>0</v>
      </c>
      <c r="G21">
        <v>0</v>
      </c>
      <c r="H21">
        <v>1</v>
      </c>
      <c r="I21">
        <v>0</v>
      </c>
    </row>
    <row r="22" spans="1:9" x14ac:dyDescent="0.3">
      <c r="A22">
        <v>1</v>
      </c>
      <c r="B22">
        <v>0</v>
      </c>
      <c r="C22">
        <v>1</v>
      </c>
      <c r="D22">
        <v>0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 x14ac:dyDescent="0.3">
      <c r="A23" t="s">
        <v>1</v>
      </c>
    </row>
    <row r="24" spans="1:9" x14ac:dyDescent="0.3">
      <c r="A24">
        <f t="shared" ref="A24:I24" si="0">COUNTIF(A2:A22,1)/22</f>
        <v>0.59090909090909094</v>
      </c>
      <c r="B24">
        <f t="shared" si="0"/>
        <v>0.22727272727272727</v>
      </c>
      <c r="C24">
        <f t="shared" si="0"/>
        <v>0.54545454545454541</v>
      </c>
      <c r="D24">
        <f t="shared" si="0"/>
        <v>0.18181818181818182</v>
      </c>
      <c r="E24">
        <f t="shared" si="0"/>
        <v>0.63636363636363635</v>
      </c>
      <c r="F24">
        <f t="shared" si="0"/>
        <v>0.40909090909090912</v>
      </c>
      <c r="G24">
        <f t="shared" si="0"/>
        <v>0.68181818181818177</v>
      </c>
      <c r="H24">
        <f t="shared" si="0"/>
        <v>0.90909090909090906</v>
      </c>
      <c r="I24">
        <f t="shared" si="0"/>
        <v>0.68181818181818177</v>
      </c>
    </row>
    <row r="25" spans="1:9" x14ac:dyDescent="0.3">
      <c r="A25" t="s">
        <v>2</v>
      </c>
    </row>
    <row r="26" spans="1:9" x14ac:dyDescent="0.3">
      <c r="A26">
        <f t="shared" ref="A26:I26" si="1">1 - LN(A24/(1 - A24))/1</f>
        <v>0.63227521987468249</v>
      </c>
      <c r="B26">
        <f t="shared" si="1"/>
        <v>2.2237754316221157</v>
      </c>
      <c r="C26">
        <f t="shared" si="1"/>
        <v>0.81767844320604555</v>
      </c>
      <c r="D26">
        <f t="shared" si="1"/>
        <v>2.5040773967762737</v>
      </c>
      <c r="E26">
        <f t="shared" si="1"/>
        <v>0.44038421206457734</v>
      </c>
      <c r="F26">
        <f t="shared" si="1"/>
        <v>1.3677247801253172</v>
      </c>
      <c r="G26">
        <f t="shared" si="1"/>
        <v>0.2378599479531035</v>
      </c>
      <c r="H26">
        <f t="shared" si="1"/>
        <v>-1.3025850929940455</v>
      </c>
      <c r="I26">
        <f t="shared" si="1"/>
        <v>0.2378599479531035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190"/>
  <sheetViews>
    <sheetView tabSelected="1" zoomScale="88" workbookViewId="0">
      <selection activeCell="E16" sqref="E16"/>
    </sheetView>
  </sheetViews>
  <sheetFormatPr defaultRowHeight="14.4" x14ac:dyDescent="0.3"/>
  <cols>
    <col min="1" max="1" width="10.33203125" customWidth="1"/>
    <col min="2" max="2" width="9.6640625" customWidth="1"/>
    <col min="3" max="3" width="18.33203125" customWidth="1"/>
    <col min="5" max="5" width="10.5546875" customWidth="1"/>
    <col min="6" max="6" width="8.88671875" customWidth="1"/>
    <col min="7" max="7" width="9.109375" customWidth="1"/>
    <col min="8" max="8" width="56.33203125" customWidth="1"/>
    <col min="9" max="9" width="29.109375" customWidth="1"/>
    <col min="10" max="10" width="22.21875" customWidth="1"/>
  </cols>
  <sheetData>
    <row r="1" spans="1:10" ht="19.8" customHeight="1" x14ac:dyDescent="0.3">
      <c r="A1" s="15" t="s">
        <v>3</v>
      </c>
      <c r="B1" s="15" t="s">
        <v>15</v>
      </c>
      <c r="C1" s="15" t="s">
        <v>16</v>
      </c>
      <c r="D1" s="15" t="s">
        <v>49</v>
      </c>
      <c r="E1" s="15" t="s">
        <v>17</v>
      </c>
      <c r="F1" s="15" t="s">
        <v>48</v>
      </c>
      <c r="G1" s="15" t="s">
        <v>18</v>
      </c>
      <c r="H1" s="15" t="s">
        <v>27</v>
      </c>
      <c r="I1" s="15" t="s">
        <v>6</v>
      </c>
      <c r="J1" s="29"/>
    </row>
    <row r="2" spans="1:10" x14ac:dyDescent="0.3">
      <c r="A2" t="s">
        <v>28</v>
      </c>
      <c r="B2">
        <v>1</v>
      </c>
      <c r="C2">
        <v>3</v>
      </c>
      <c r="D2">
        <v>0.81799999999999995</v>
      </c>
      <c r="E2">
        <v>1.048</v>
      </c>
      <c r="F2">
        <v>0.49399999999999999</v>
      </c>
      <c r="G2">
        <v>1</v>
      </c>
      <c r="H2" t="s">
        <v>26</v>
      </c>
      <c r="I2" t="s">
        <v>12</v>
      </c>
    </row>
    <row r="3" spans="1:10" x14ac:dyDescent="0.3">
      <c r="A3" t="s">
        <v>28</v>
      </c>
      <c r="B3">
        <v>2</v>
      </c>
      <c r="C3">
        <v>6</v>
      </c>
      <c r="D3">
        <v>1.3680000000000001</v>
      </c>
      <c r="E3">
        <v>0.83799999999999997</v>
      </c>
      <c r="F3">
        <v>0.42099999999999999</v>
      </c>
      <c r="G3">
        <v>0</v>
      </c>
      <c r="H3" t="s">
        <v>8</v>
      </c>
      <c r="I3" t="s">
        <v>12</v>
      </c>
    </row>
    <row r="4" spans="1:10" x14ac:dyDescent="0.3">
      <c r="A4" t="s">
        <v>28</v>
      </c>
      <c r="B4">
        <v>3</v>
      </c>
      <c r="C4">
        <v>1</v>
      </c>
      <c r="D4">
        <v>0.63200000000000001</v>
      </c>
      <c r="E4">
        <v>0.56200000000000006</v>
      </c>
      <c r="F4">
        <v>0.55100000000000005</v>
      </c>
      <c r="G4">
        <v>0</v>
      </c>
      <c r="H4" t="s">
        <v>24</v>
      </c>
      <c r="I4" t="s">
        <v>11</v>
      </c>
    </row>
    <row r="5" spans="1:10" x14ac:dyDescent="0.3">
      <c r="A5" t="s">
        <v>28</v>
      </c>
      <c r="B5">
        <v>4</v>
      </c>
      <c r="C5">
        <v>5</v>
      </c>
      <c r="D5">
        <v>0.44</v>
      </c>
      <c r="E5">
        <v>0.79700000000000004</v>
      </c>
      <c r="F5">
        <v>0.53</v>
      </c>
      <c r="G5">
        <v>1</v>
      </c>
      <c r="H5" t="s">
        <v>19</v>
      </c>
      <c r="I5" t="s">
        <v>13</v>
      </c>
    </row>
    <row r="6" spans="1:10" x14ac:dyDescent="0.3">
      <c r="A6" t="s">
        <v>28</v>
      </c>
      <c r="B6">
        <v>5</v>
      </c>
      <c r="C6">
        <v>7</v>
      </c>
      <c r="D6">
        <v>0.23799999999999999</v>
      </c>
      <c r="E6">
        <v>0.47899999999999998</v>
      </c>
      <c r="F6">
        <v>0.63600000000000001</v>
      </c>
      <c r="G6">
        <v>0</v>
      </c>
      <c r="H6" t="s">
        <v>20</v>
      </c>
      <c r="I6" t="s">
        <v>14</v>
      </c>
    </row>
    <row r="7" spans="1:10" x14ac:dyDescent="0.3">
      <c r="A7" t="s">
        <v>28</v>
      </c>
      <c r="B7">
        <v>6</v>
      </c>
      <c r="C7">
        <v>9</v>
      </c>
      <c r="D7">
        <v>0.23799999999999999</v>
      </c>
      <c r="E7">
        <v>0.69899999999999995</v>
      </c>
      <c r="F7">
        <v>0.56000000000000005</v>
      </c>
      <c r="G7">
        <v>1</v>
      </c>
      <c r="H7" t="s">
        <v>9</v>
      </c>
      <c r="I7" t="s">
        <v>11</v>
      </c>
    </row>
    <row r="8" spans="1:10" x14ac:dyDescent="0.3">
      <c r="A8" t="s">
        <v>28</v>
      </c>
      <c r="B8">
        <v>7</v>
      </c>
      <c r="C8">
        <v>2</v>
      </c>
      <c r="D8">
        <v>2.2240000000000002</v>
      </c>
      <c r="E8">
        <v>0.61</v>
      </c>
      <c r="F8">
        <v>0.17899999999999999</v>
      </c>
      <c r="G8">
        <v>0</v>
      </c>
      <c r="H8" t="s">
        <v>25</v>
      </c>
      <c r="I8" t="s">
        <v>12</v>
      </c>
    </row>
    <row r="9" spans="1:10" x14ac:dyDescent="0.3">
      <c r="A9" t="s">
        <v>28</v>
      </c>
      <c r="B9">
        <v>8</v>
      </c>
      <c r="C9">
        <v>4</v>
      </c>
      <c r="D9">
        <v>2.504</v>
      </c>
      <c r="E9">
        <v>0.54400000000000004</v>
      </c>
      <c r="F9">
        <v>0.13100000000000001</v>
      </c>
      <c r="G9">
        <v>0</v>
      </c>
      <c r="H9" t="s">
        <v>7</v>
      </c>
      <c r="I9" t="s">
        <v>12</v>
      </c>
    </row>
    <row r="10" spans="1:10" s="30" customFormat="1" x14ac:dyDescent="0.3">
      <c r="A10" s="30" t="s">
        <v>28</v>
      </c>
      <c r="B10" s="30">
        <v>9</v>
      </c>
      <c r="C10" s="30">
        <v>8</v>
      </c>
      <c r="D10" s="30">
        <v>-1.3029999999999999</v>
      </c>
      <c r="E10" s="30">
        <v>0.61199999999999999</v>
      </c>
      <c r="F10" s="30">
        <v>0.86399999999999999</v>
      </c>
      <c r="G10" s="30">
        <v>1</v>
      </c>
      <c r="H10" s="30" t="s">
        <v>10</v>
      </c>
      <c r="I10" s="30" t="s">
        <v>13</v>
      </c>
    </row>
    <row r="11" spans="1:10" x14ac:dyDescent="0.3">
      <c r="A11" t="s">
        <v>29</v>
      </c>
      <c r="B11">
        <v>1</v>
      </c>
      <c r="C11">
        <v>3</v>
      </c>
      <c r="D11">
        <v>0.81799999999999995</v>
      </c>
      <c r="E11">
        <v>0.54800000000000004</v>
      </c>
      <c r="F11">
        <v>0.49399999999999999</v>
      </c>
      <c r="G11">
        <v>0</v>
      </c>
      <c r="H11" t="s">
        <v>26</v>
      </c>
      <c r="I11" t="s">
        <v>12</v>
      </c>
    </row>
    <row r="12" spans="1:10" x14ac:dyDescent="0.3">
      <c r="A12" t="s">
        <v>29</v>
      </c>
      <c r="B12">
        <v>2</v>
      </c>
      <c r="C12">
        <v>1</v>
      </c>
      <c r="D12">
        <v>0.63200000000000001</v>
      </c>
      <c r="E12">
        <v>0.80900000000000005</v>
      </c>
      <c r="F12">
        <v>0.47899999999999998</v>
      </c>
      <c r="G12">
        <v>1</v>
      </c>
      <c r="H12" t="s">
        <v>24</v>
      </c>
      <c r="I12" t="s">
        <v>11</v>
      </c>
    </row>
    <row r="13" spans="1:10" x14ac:dyDescent="0.3">
      <c r="A13" t="s">
        <v>29</v>
      </c>
      <c r="B13">
        <v>3</v>
      </c>
      <c r="C13">
        <v>5</v>
      </c>
      <c r="D13">
        <v>0.44</v>
      </c>
      <c r="E13">
        <v>1.0129999999999999</v>
      </c>
      <c r="F13">
        <v>0.59099999999999997</v>
      </c>
      <c r="G13">
        <v>1</v>
      </c>
      <c r="H13" t="s">
        <v>19</v>
      </c>
      <c r="I13" t="s">
        <v>13</v>
      </c>
    </row>
    <row r="14" spans="1:10" x14ac:dyDescent="0.3">
      <c r="A14" t="s">
        <v>29</v>
      </c>
      <c r="B14">
        <v>4</v>
      </c>
      <c r="C14">
        <v>6</v>
      </c>
      <c r="D14">
        <v>1.3680000000000001</v>
      </c>
      <c r="E14">
        <v>0.80700000000000005</v>
      </c>
      <c r="F14">
        <v>0.41199999999999998</v>
      </c>
      <c r="G14">
        <v>0</v>
      </c>
      <c r="H14" t="s">
        <v>8</v>
      </c>
      <c r="I14" t="s">
        <v>12</v>
      </c>
    </row>
    <row r="15" spans="1:10" x14ac:dyDescent="0.3">
      <c r="A15" t="s">
        <v>29</v>
      </c>
      <c r="B15">
        <v>5</v>
      </c>
      <c r="C15">
        <v>7</v>
      </c>
      <c r="D15">
        <v>0.23799999999999999</v>
      </c>
      <c r="E15">
        <v>0.98799999999999999</v>
      </c>
      <c r="F15">
        <v>0.63900000000000001</v>
      </c>
      <c r="G15">
        <v>1</v>
      </c>
      <c r="H15" t="s">
        <v>20</v>
      </c>
      <c r="I15" t="s">
        <v>14</v>
      </c>
    </row>
    <row r="16" spans="1:10" x14ac:dyDescent="0.3">
      <c r="A16" t="s">
        <v>29</v>
      </c>
      <c r="B16">
        <v>6</v>
      </c>
      <c r="C16">
        <v>9</v>
      </c>
      <c r="D16">
        <v>0.23799999999999999</v>
      </c>
      <c r="E16">
        <v>1.1479999999999999</v>
      </c>
      <c r="F16">
        <v>0.67900000000000005</v>
      </c>
      <c r="G16">
        <v>1</v>
      </c>
      <c r="H16" t="s">
        <v>9</v>
      </c>
      <c r="I16" t="s">
        <v>11</v>
      </c>
    </row>
    <row r="17" spans="1:9" x14ac:dyDescent="0.3">
      <c r="A17" t="s">
        <v>29</v>
      </c>
      <c r="B17">
        <v>7</v>
      </c>
      <c r="C17">
        <v>2</v>
      </c>
      <c r="D17">
        <v>2.2240000000000002</v>
      </c>
      <c r="E17">
        <v>1.5209999999999999</v>
      </c>
      <c r="F17">
        <v>0.254</v>
      </c>
      <c r="G17">
        <v>1</v>
      </c>
      <c r="H17" t="s">
        <v>25</v>
      </c>
      <c r="I17" t="s">
        <v>12</v>
      </c>
    </row>
    <row r="18" spans="1:9" x14ac:dyDescent="0.3">
      <c r="A18" t="s">
        <v>29</v>
      </c>
      <c r="B18">
        <v>8</v>
      </c>
      <c r="C18">
        <v>4</v>
      </c>
      <c r="D18">
        <v>2.504</v>
      </c>
      <c r="E18">
        <v>1.385</v>
      </c>
      <c r="F18">
        <v>0.27200000000000002</v>
      </c>
      <c r="G18">
        <v>0</v>
      </c>
      <c r="H18" t="s">
        <v>7</v>
      </c>
      <c r="I18" t="s">
        <v>12</v>
      </c>
    </row>
    <row r="19" spans="1:9" s="31" customFormat="1" x14ac:dyDescent="0.3">
      <c r="A19" s="31" t="s">
        <v>29</v>
      </c>
      <c r="B19" s="31">
        <v>9</v>
      </c>
      <c r="C19" s="31">
        <v>8</v>
      </c>
      <c r="D19" s="31">
        <v>-1.3029999999999999</v>
      </c>
      <c r="E19" s="31">
        <v>1.417</v>
      </c>
      <c r="F19" s="31">
        <v>0.93600000000000005</v>
      </c>
      <c r="G19" s="31">
        <v>1</v>
      </c>
      <c r="H19" s="31" t="s">
        <v>10</v>
      </c>
      <c r="I19" s="31" t="s">
        <v>13</v>
      </c>
    </row>
    <row r="20" spans="1:9" x14ac:dyDescent="0.3">
      <c r="A20" t="s">
        <v>30</v>
      </c>
      <c r="B20">
        <v>1</v>
      </c>
      <c r="C20">
        <v>3</v>
      </c>
      <c r="D20">
        <v>0.81799999999999995</v>
      </c>
      <c r="E20">
        <v>1.048</v>
      </c>
      <c r="F20">
        <v>0.49399999999999999</v>
      </c>
      <c r="G20">
        <v>1</v>
      </c>
      <c r="H20" t="s">
        <v>26</v>
      </c>
      <c r="I20" t="s">
        <v>12</v>
      </c>
    </row>
    <row r="21" spans="1:9" x14ac:dyDescent="0.3">
      <c r="A21" t="s">
        <v>30</v>
      </c>
      <c r="B21">
        <v>2</v>
      </c>
      <c r="C21">
        <v>6</v>
      </c>
      <c r="D21">
        <v>1.3680000000000001</v>
      </c>
      <c r="E21">
        <v>0.83799999999999997</v>
      </c>
      <c r="F21">
        <v>0.42099999999999999</v>
      </c>
      <c r="G21">
        <v>0</v>
      </c>
      <c r="H21" t="s">
        <v>8</v>
      </c>
      <c r="I21" t="s">
        <v>12</v>
      </c>
    </row>
    <row r="22" spans="1:9" x14ac:dyDescent="0.3">
      <c r="A22" t="s">
        <v>30</v>
      </c>
      <c r="B22">
        <v>3</v>
      </c>
      <c r="C22">
        <v>1</v>
      </c>
      <c r="D22">
        <v>0.63200000000000001</v>
      </c>
      <c r="E22">
        <v>0.56200000000000006</v>
      </c>
      <c r="F22">
        <v>0.55100000000000005</v>
      </c>
      <c r="G22">
        <v>0</v>
      </c>
      <c r="H22" t="s">
        <v>24</v>
      </c>
      <c r="I22" t="s">
        <v>11</v>
      </c>
    </row>
    <row r="23" spans="1:9" x14ac:dyDescent="0.3">
      <c r="A23" t="s">
        <v>30</v>
      </c>
      <c r="B23">
        <v>4</v>
      </c>
      <c r="C23">
        <v>5</v>
      </c>
      <c r="D23">
        <v>0.44</v>
      </c>
      <c r="E23">
        <v>0.79700000000000004</v>
      </c>
      <c r="F23">
        <v>0.53</v>
      </c>
      <c r="G23">
        <v>1</v>
      </c>
      <c r="H23" t="s">
        <v>19</v>
      </c>
      <c r="I23" t="s">
        <v>13</v>
      </c>
    </row>
    <row r="24" spans="1:9" x14ac:dyDescent="0.3">
      <c r="A24" t="s">
        <v>30</v>
      </c>
      <c r="B24">
        <v>5</v>
      </c>
      <c r="C24">
        <v>7</v>
      </c>
      <c r="D24">
        <v>0.23799999999999999</v>
      </c>
      <c r="E24">
        <v>0.97899999999999998</v>
      </c>
      <c r="F24">
        <v>0.63600000000000001</v>
      </c>
      <c r="G24">
        <v>1</v>
      </c>
      <c r="H24" t="s">
        <v>20</v>
      </c>
      <c r="I24" t="s">
        <v>14</v>
      </c>
    </row>
    <row r="25" spans="1:9" x14ac:dyDescent="0.3">
      <c r="A25" t="s">
        <v>30</v>
      </c>
      <c r="B25">
        <v>6</v>
      </c>
      <c r="C25">
        <v>9</v>
      </c>
      <c r="D25">
        <v>0.23799999999999999</v>
      </c>
      <c r="E25">
        <v>1.1399999999999999</v>
      </c>
      <c r="F25">
        <v>0.67700000000000005</v>
      </c>
      <c r="G25">
        <v>1</v>
      </c>
      <c r="H25" t="s">
        <v>9</v>
      </c>
      <c r="I25" t="s">
        <v>11</v>
      </c>
    </row>
    <row r="26" spans="1:9" x14ac:dyDescent="0.3">
      <c r="A26" t="s">
        <v>30</v>
      </c>
      <c r="B26">
        <v>7</v>
      </c>
      <c r="C26">
        <v>2</v>
      </c>
      <c r="D26">
        <v>2.2240000000000002</v>
      </c>
      <c r="E26">
        <v>1.014</v>
      </c>
      <c r="F26">
        <v>0.253</v>
      </c>
      <c r="G26">
        <v>0</v>
      </c>
      <c r="H26" t="s">
        <v>25</v>
      </c>
      <c r="I26" t="s">
        <v>12</v>
      </c>
    </row>
    <row r="27" spans="1:9" x14ac:dyDescent="0.3">
      <c r="A27" t="s">
        <v>30</v>
      </c>
      <c r="B27">
        <v>8</v>
      </c>
      <c r="C27">
        <v>4</v>
      </c>
      <c r="D27">
        <v>2.504</v>
      </c>
      <c r="E27">
        <v>0.92200000000000004</v>
      </c>
      <c r="F27">
        <v>0.184</v>
      </c>
      <c r="G27">
        <v>0</v>
      </c>
      <c r="H27" t="s">
        <v>7</v>
      </c>
      <c r="I27" t="s">
        <v>12</v>
      </c>
    </row>
    <row r="28" spans="1:9" x14ac:dyDescent="0.3">
      <c r="A28" t="s">
        <v>30</v>
      </c>
      <c r="B28">
        <v>9</v>
      </c>
      <c r="C28">
        <v>8</v>
      </c>
      <c r="D28">
        <v>-1.3029999999999999</v>
      </c>
      <c r="E28">
        <v>0.97099999999999997</v>
      </c>
      <c r="F28">
        <v>0.90200000000000002</v>
      </c>
      <c r="G28">
        <v>1</v>
      </c>
      <c r="H28" t="s">
        <v>10</v>
      </c>
      <c r="I28" t="s">
        <v>13</v>
      </c>
    </row>
    <row r="29" spans="1:9" x14ac:dyDescent="0.3">
      <c r="A29" t="s">
        <v>31</v>
      </c>
      <c r="B29">
        <v>1</v>
      </c>
      <c r="C29">
        <v>3</v>
      </c>
      <c r="D29">
        <v>0.81799999999999995</v>
      </c>
      <c r="E29">
        <v>0.54800000000000004</v>
      </c>
      <c r="F29">
        <v>0.49399999999999999</v>
      </c>
      <c r="G29">
        <v>0</v>
      </c>
      <c r="H29" t="s">
        <v>26</v>
      </c>
      <c r="I29" t="s">
        <v>12</v>
      </c>
    </row>
    <row r="30" spans="1:9" x14ac:dyDescent="0.3">
      <c r="A30" t="s">
        <v>31</v>
      </c>
      <c r="B30">
        <v>2</v>
      </c>
      <c r="C30">
        <v>1</v>
      </c>
      <c r="D30">
        <v>0.63200000000000001</v>
      </c>
      <c r="E30">
        <v>0.309</v>
      </c>
      <c r="F30">
        <v>0.47899999999999998</v>
      </c>
      <c r="G30">
        <v>0</v>
      </c>
      <c r="H30" t="s">
        <v>24</v>
      </c>
      <c r="I30" t="s">
        <v>11</v>
      </c>
    </row>
    <row r="31" spans="1:9" x14ac:dyDescent="0.3">
      <c r="A31" t="s">
        <v>31</v>
      </c>
      <c r="B31">
        <v>3</v>
      </c>
      <c r="C31">
        <v>7</v>
      </c>
      <c r="D31">
        <v>0.23799999999999999</v>
      </c>
      <c r="E31">
        <v>0.55000000000000004</v>
      </c>
      <c r="F31">
        <v>0.51800000000000002</v>
      </c>
      <c r="G31">
        <v>1</v>
      </c>
      <c r="H31" t="s">
        <v>20</v>
      </c>
      <c r="I31" t="s">
        <v>14</v>
      </c>
    </row>
    <row r="32" spans="1:9" x14ac:dyDescent="0.3">
      <c r="A32" t="s">
        <v>31</v>
      </c>
      <c r="B32">
        <v>4</v>
      </c>
      <c r="C32">
        <v>5</v>
      </c>
      <c r="D32">
        <v>0.44</v>
      </c>
      <c r="E32">
        <v>0.28599999999999998</v>
      </c>
      <c r="F32">
        <v>0.52700000000000002</v>
      </c>
      <c r="G32">
        <v>0</v>
      </c>
      <c r="H32" t="s">
        <v>19</v>
      </c>
      <c r="I32" t="s">
        <v>13</v>
      </c>
    </row>
    <row r="33" spans="1:9" x14ac:dyDescent="0.3">
      <c r="A33" t="s">
        <v>31</v>
      </c>
      <c r="B33">
        <v>5</v>
      </c>
      <c r="C33">
        <v>9</v>
      </c>
      <c r="D33">
        <v>0.23799999999999999</v>
      </c>
      <c r="E33">
        <v>0.53</v>
      </c>
      <c r="F33">
        <v>0.51200000000000001</v>
      </c>
      <c r="G33">
        <v>1</v>
      </c>
      <c r="H33" t="s">
        <v>9</v>
      </c>
      <c r="I33" t="s">
        <v>11</v>
      </c>
    </row>
    <row r="34" spans="1:9" x14ac:dyDescent="0.3">
      <c r="A34" t="s">
        <v>31</v>
      </c>
      <c r="B34">
        <v>6</v>
      </c>
      <c r="C34">
        <v>6</v>
      </c>
      <c r="D34">
        <v>1.3680000000000001</v>
      </c>
      <c r="E34">
        <v>0.379</v>
      </c>
      <c r="F34">
        <v>0.30199999999999999</v>
      </c>
      <c r="G34">
        <v>0</v>
      </c>
      <c r="H34" t="s">
        <v>8</v>
      </c>
      <c r="I34" t="s">
        <v>12</v>
      </c>
    </row>
    <row r="35" spans="1:9" x14ac:dyDescent="0.3">
      <c r="A35" t="s">
        <v>31</v>
      </c>
      <c r="B35">
        <v>7</v>
      </c>
      <c r="C35">
        <v>8</v>
      </c>
      <c r="D35">
        <v>-1.3029999999999999</v>
      </c>
      <c r="E35">
        <v>0.45800000000000002</v>
      </c>
      <c r="F35">
        <v>0.84299999999999997</v>
      </c>
      <c r="G35">
        <v>1</v>
      </c>
      <c r="H35" t="s">
        <v>10</v>
      </c>
      <c r="I35" t="s">
        <v>13</v>
      </c>
    </row>
    <row r="36" spans="1:9" x14ac:dyDescent="0.3">
      <c r="A36" t="s">
        <v>31</v>
      </c>
      <c r="B36">
        <v>8</v>
      </c>
      <c r="C36">
        <v>2</v>
      </c>
      <c r="D36">
        <v>2.2240000000000002</v>
      </c>
      <c r="E36">
        <v>0.38500000000000001</v>
      </c>
      <c r="F36">
        <v>0.14599999999999999</v>
      </c>
      <c r="G36">
        <v>0</v>
      </c>
      <c r="H36" t="s">
        <v>25</v>
      </c>
      <c r="I36" t="s">
        <v>12</v>
      </c>
    </row>
    <row r="37" spans="1:9" x14ac:dyDescent="0.3">
      <c r="A37" t="s">
        <v>31</v>
      </c>
      <c r="B37">
        <v>9</v>
      </c>
      <c r="C37">
        <v>4</v>
      </c>
      <c r="D37">
        <v>2.504</v>
      </c>
      <c r="E37">
        <v>0.83099999999999996</v>
      </c>
      <c r="F37">
        <v>0.107</v>
      </c>
      <c r="G37">
        <v>1</v>
      </c>
      <c r="H37" t="s">
        <v>7</v>
      </c>
      <c r="I37" t="s">
        <v>12</v>
      </c>
    </row>
    <row r="38" spans="1:9" x14ac:dyDescent="0.3">
      <c r="A38" t="s">
        <v>32</v>
      </c>
      <c r="B38">
        <v>1</v>
      </c>
      <c r="C38">
        <v>3</v>
      </c>
      <c r="D38">
        <v>0.81799999999999995</v>
      </c>
      <c r="E38">
        <v>0.54800000000000004</v>
      </c>
      <c r="F38">
        <v>0.49399999999999999</v>
      </c>
      <c r="G38">
        <v>0</v>
      </c>
      <c r="H38" t="s">
        <v>26</v>
      </c>
      <c r="I38" t="s">
        <v>12</v>
      </c>
    </row>
    <row r="39" spans="1:9" x14ac:dyDescent="0.3">
      <c r="A39" t="s">
        <v>32</v>
      </c>
      <c r="B39">
        <v>2</v>
      </c>
      <c r="C39">
        <v>1</v>
      </c>
      <c r="D39">
        <v>0.63200000000000001</v>
      </c>
      <c r="E39">
        <v>0.309</v>
      </c>
      <c r="F39">
        <v>0.47899999999999998</v>
      </c>
      <c r="G39">
        <v>0</v>
      </c>
      <c r="H39" t="s">
        <v>24</v>
      </c>
      <c r="I39" t="s">
        <v>11</v>
      </c>
    </row>
    <row r="40" spans="1:9" x14ac:dyDescent="0.3">
      <c r="A40" t="s">
        <v>32</v>
      </c>
      <c r="B40">
        <v>3</v>
      </c>
      <c r="C40">
        <v>7</v>
      </c>
      <c r="D40">
        <v>0.23799999999999999</v>
      </c>
      <c r="E40">
        <v>0.05</v>
      </c>
      <c r="F40">
        <v>0.51800000000000002</v>
      </c>
      <c r="G40">
        <v>0</v>
      </c>
      <c r="H40" t="s">
        <v>20</v>
      </c>
      <c r="I40" t="s">
        <v>14</v>
      </c>
    </row>
    <row r="41" spans="1:9" x14ac:dyDescent="0.3">
      <c r="A41" t="s">
        <v>32</v>
      </c>
      <c r="B41">
        <v>4</v>
      </c>
      <c r="C41">
        <v>9</v>
      </c>
      <c r="D41">
        <v>0.23799999999999999</v>
      </c>
      <c r="E41">
        <v>-0.17699999999999999</v>
      </c>
      <c r="F41">
        <v>0.45300000000000001</v>
      </c>
      <c r="G41">
        <v>0</v>
      </c>
      <c r="H41" t="s">
        <v>9</v>
      </c>
      <c r="I41" t="s">
        <v>11</v>
      </c>
    </row>
    <row r="42" spans="1:9" x14ac:dyDescent="0.3">
      <c r="A42" t="s">
        <v>32</v>
      </c>
      <c r="B42">
        <v>5</v>
      </c>
      <c r="C42">
        <v>5</v>
      </c>
      <c r="D42">
        <v>0.44</v>
      </c>
      <c r="E42">
        <v>-0.35199999999999998</v>
      </c>
      <c r="F42">
        <v>0.35</v>
      </c>
      <c r="G42">
        <v>0</v>
      </c>
      <c r="H42" t="s">
        <v>19</v>
      </c>
      <c r="I42" t="s">
        <v>13</v>
      </c>
    </row>
    <row r="43" spans="1:9" x14ac:dyDescent="0.3">
      <c r="A43" t="s">
        <v>32</v>
      </c>
      <c r="B43">
        <v>6</v>
      </c>
      <c r="C43">
        <v>8</v>
      </c>
      <c r="D43">
        <v>-1.3029999999999999</v>
      </c>
      <c r="E43">
        <v>-0.21299999999999999</v>
      </c>
      <c r="F43">
        <v>0.72099999999999997</v>
      </c>
      <c r="G43">
        <v>1</v>
      </c>
      <c r="H43" t="s">
        <v>10</v>
      </c>
      <c r="I43" t="s">
        <v>13</v>
      </c>
    </row>
    <row r="44" spans="1:9" x14ac:dyDescent="0.3">
      <c r="A44" t="s">
        <v>32</v>
      </c>
      <c r="B44">
        <v>7</v>
      </c>
      <c r="C44">
        <v>6</v>
      </c>
      <c r="D44">
        <v>1.3680000000000001</v>
      </c>
      <c r="E44">
        <v>-0.29799999999999999</v>
      </c>
      <c r="F44">
        <v>0.17100000000000001</v>
      </c>
      <c r="G44">
        <v>0</v>
      </c>
      <c r="H44" t="s">
        <v>8</v>
      </c>
      <c r="I44" t="s">
        <v>12</v>
      </c>
    </row>
    <row r="45" spans="1:9" x14ac:dyDescent="0.3">
      <c r="A45" t="s">
        <v>32</v>
      </c>
      <c r="B45">
        <v>8</v>
      </c>
      <c r="C45">
        <v>2</v>
      </c>
      <c r="D45">
        <v>2.2240000000000002</v>
      </c>
      <c r="E45">
        <v>0.16500000000000001</v>
      </c>
      <c r="F45">
        <v>7.3999999999999996E-2</v>
      </c>
      <c r="G45">
        <v>1</v>
      </c>
      <c r="H45" t="s">
        <v>25</v>
      </c>
      <c r="I45" t="s">
        <v>12</v>
      </c>
    </row>
    <row r="46" spans="1:9" x14ac:dyDescent="0.3">
      <c r="A46" t="s">
        <v>32</v>
      </c>
      <c r="B46">
        <v>9</v>
      </c>
      <c r="C46">
        <v>4</v>
      </c>
      <c r="D46">
        <v>2.504</v>
      </c>
      <c r="E46">
        <v>0.121</v>
      </c>
      <c r="F46">
        <v>8.7999999999999995E-2</v>
      </c>
      <c r="G46">
        <v>0</v>
      </c>
      <c r="H46" t="s">
        <v>7</v>
      </c>
      <c r="I46" t="s">
        <v>12</v>
      </c>
    </row>
    <row r="47" spans="1:9" x14ac:dyDescent="0.3">
      <c r="A47" t="s">
        <v>33</v>
      </c>
      <c r="B47">
        <v>1</v>
      </c>
      <c r="C47">
        <v>3</v>
      </c>
      <c r="D47">
        <v>0.81799999999999995</v>
      </c>
      <c r="E47">
        <v>1.048</v>
      </c>
      <c r="F47">
        <v>0.49399999999999999</v>
      </c>
      <c r="G47">
        <v>1</v>
      </c>
      <c r="H47" t="s">
        <v>26</v>
      </c>
      <c r="I47" t="s">
        <v>12</v>
      </c>
    </row>
    <row r="48" spans="1:9" x14ac:dyDescent="0.3">
      <c r="A48" t="s">
        <v>33</v>
      </c>
      <c r="B48">
        <v>2</v>
      </c>
      <c r="C48">
        <v>6</v>
      </c>
      <c r="D48">
        <v>1.3680000000000001</v>
      </c>
      <c r="E48">
        <v>1.3380000000000001</v>
      </c>
      <c r="F48">
        <v>0.42099999999999999</v>
      </c>
      <c r="G48">
        <v>1</v>
      </c>
      <c r="H48" t="s">
        <v>8</v>
      </c>
      <c r="I48" t="s">
        <v>12</v>
      </c>
    </row>
    <row r="49" spans="1:9" x14ac:dyDescent="0.3">
      <c r="A49" t="s">
        <v>33</v>
      </c>
      <c r="B49">
        <v>3</v>
      </c>
      <c r="C49">
        <v>1</v>
      </c>
      <c r="D49">
        <v>0.63200000000000001</v>
      </c>
      <c r="E49">
        <v>1.5029999999999999</v>
      </c>
      <c r="F49">
        <v>0.66900000000000004</v>
      </c>
      <c r="G49">
        <v>1</v>
      </c>
      <c r="H49" t="s">
        <v>24</v>
      </c>
      <c r="I49" t="s">
        <v>11</v>
      </c>
    </row>
    <row r="50" spans="1:9" x14ac:dyDescent="0.3">
      <c r="A50" t="s">
        <v>33</v>
      </c>
      <c r="B50">
        <v>4</v>
      </c>
      <c r="C50">
        <v>2</v>
      </c>
      <c r="D50">
        <v>2.2240000000000002</v>
      </c>
      <c r="E50">
        <v>1.339</v>
      </c>
      <c r="F50">
        <v>0.32700000000000001</v>
      </c>
      <c r="G50">
        <v>0</v>
      </c>
      <c r="H50" t="s">
        <v>25</v>
      </c>
      <c r="I50" t="s">
        <v>12</v>
      </c>
    </row>
    <row r="51" spans="1:9" x14ac:dyDescent="0.3">
      <c r="A51" t="s">
        <v>33</v>
      </c>
      <c r="B51">
        <v>5</v>
      </c>
      <c r="C51">
        <v>5</v>
      </c>
      <c r="D51">
        <v>0.44</v>
      </c>
      <c r="E51">
        <v>1.484</v>
      </c>
      <c r="F51">
        <v>0.71099999999999997</v>
      </c>
      <c r="G51">
        <v>1</v>
      </c>
      <c r="H51" t="s">
        <v>19</v>
      </c>
      <c r="I51" t="s">
        <v>13</v>
      </c>
    </row>
    <row r="52" spans="1:9" x14ac:dyDescent="0.3">
      <c r="A52" t="s">
        <v>33</v>
      </c>
      <c r="B52">
        <v>6</v>
      </c>
      <c r="C52">
        <v>4</v>
      </c>
      <c r="D52">
        <v>2.504</v>
      </c>
      <c r="E52">
        <v>1.3520000000000001</v>
      </c>
      <c r="F52">
        <v>0.26500000000000001</v>
      </c>
      <c r="G52">
        <v>0</v>
      </c>
      <c r="H52" t="s">
        <v>7</v>
      </c>
      <c r="I52" t="s">
        <v>12</v>
      </c>
    </row>
    <row r="53" spans="1:9" x14ac:dyDescent="0.3">
      <c r="A53" t="s">
        <v>33</v>
      </c>
      <c r="B53">
        <v>7</v>
      </c>
      <c r="C53">
        <v>7</v>
      </c>
      <c r="D53">
        <v>0.23799999999999999</v>
      </c>
      <c r="E53">
        <v>1.4750000000000001</v>
      </c>
      <c r="F53">
        <v>0.753</v>
      </c>
      <c r="G53">
        <v>1</v>
      </c>
      <c r="H53" t="s">
        <v>20</v>
      </c>
      <c r="I53" t="s">
        <v>14</v>
      </c>
    </row>
    <row r="54" spans="1:9" x14ac:dyDescent="0.3">
      <c r="A54" t="s">
        <v>33</v>
      </c>
      <c r="B54">
        <v>8</v>
      </c>
      <c r="C54">
        <v>9</v>
      </c>
      <c r="D54">
        <v>0.23799999999999999</v>
      </c>
      <c r="E54">
        <v>1.0880000000000001</v>
      </c>
      <c r="F54">
        <v>0.77500000000000002</v>
      </c>
      <c r="G54">
        <v>0</v>
      </c>
      <c r="H54" t="s">
        <v>9</v>
      </c>
      <c r="I54" t="s">
        <v>11</v>
      </c>
    </row>
    <row r="55" spans="1:9" x14ac:dyDescent="0.3">
      <c r="A55" t="s">
        <v>33</v>
      </c>
      <c r="B55">
        <v>9</v>
      </c>
      <c r="C55">
        <v>8</v>
      </c>
      <c r="D55">
        <v>-1.3029999999999999</v>
      </c>
      <c r="E55">
        <v>1.1299999999999999</v>
      </c>
      <c r="F55">
        <v>0.91600000000000004</v>
      </c>
      <c r="G55">
        <v>1</v>
      </c>
      <c r="H55" t="s">
        <v>10</v>
      </c>
      <c r="I55" t="s">
        <v>13</v>
      </c>
    </row>
    <row r="56" spans="1:9" x14ac:dyDescent="0.3">
      <c r="A56" t="s">
        <v>34</v>
      </c>
      <c r="B56">
        <v>1</v>
      </c>
      <c r="C56">
        <v>3</v>
      </c>
      <c r="D56">
        <v>0.81799999999999995</v>
      </c>
      <c r="E56">
        <v>1.048</v>
      </c>
      <c r="F56">
        <v>0.49399999999999999</v>
      </c>
      <c r="G56">
        <v>1</v>
      </c>
      <c r="H56" t="s">
        <v>26</v>
      </c>
      <c r="I56" t="s">
        <v>12</v>
      </c>
    </row>
    <row r="57" spans="1:9" x14ac:dyDescent="0.3">
      <c r="A57" t="s">
        <v>34</v>
      </c>
      <c r="B57">
        <v>2</v>
      </c>
      <c r="C57">
        <v>6</v>
      </c>
      <c r="D57">
        <v>1.3680000000000001</v>
      </c>
      <c r="E57">
        <v>0.83799999999999997</v>
      </c>
      <c r="F57">
        <v>0.42099999999999999</v>
      </c>
      <c r="G57">
        <v>0</v>
      </c>
      <c r="H57" t="s">
        <v>8</v>
      </c>
      <c r="I57" t="s">
        <v>12</v>
      </c>
    </row>
    <row r="58" spans="1:9" x14ac:dyDescent="0.3">
      <c r="A58" t="s">
        <v>34</v>
      </c>
      <c r="B58">
        <v>3</v>
      </c>
      <c r="C58">
        <v>1</v>
      </c>
      <c r="D58">
        <v>0.63200000000000001</v>
      </c>
      <c r="E58">
        <v>1.0620000000000001</v>
      </c>
      <c r="F58">
        <v>0.55100000000000005</v>
      </c>
      <c r="G58">
        <v>1</v>
      </c>
      <c r="H58" t="s">
        <v>24</v>
      </c>
      <c r="I58" t="s">
        <v>11</v>
      </c>
    </row>
    <row r="59" spans="1:9" x14ac:dyDescent="0.3">
      <c r="A59" t="s">
        <v>34</v>
      </c>
      <c r="B59">
        <v>4</v>
      </c>
      <c r="C59">
        <v>5</v>
      </c>
      <c r="D59">
        <v>0.44</v>
      </c>
      <c r="E59">
        <v>1.2370000000000001</v>
      </c>
      <c r="F59">
        <v>0.65100000000000002</v>
      </c>
      <c r="G59">
        <v>1</v>
      </c>
      <c r="H59" t="s">
        <v>19</v>
      </c>
      <c r="I59" t="s">
        <v>13</v>
      </c>
    </row>
    <row r="60" spans="1:9" x14ac:dyDescent="0.3">
      <c r="A60" t="s">
        <v>34</v>
      </c>
      <c r="B60">
        <v>5</v>
      </c>
      <c r="C60">
        <v>2</v>
      </c>
      <c r="D60">
        <v>2.2240000000000002</v>
      </c>
      <c r="E60">
        <v>1.101</v>
      </c>
      <c r="F60">
        <v>0.27200000000000002</v>
      </c>
      <c r="G60">
        <v>0</v>
      </c>
      <c r="H60" t="s">
        <v>25</v>
      </c>
      <c r="I60" t="s">
        <v>12</v>
      </c>
    </row>
    <row r="61" spans="1:9" x14ac:dyDescent="0.3">
      <c r="A61" t="s">
        <v>34</v>
      </c>
      <c r="B61">
        <v>6</v>
      </c>
      <c r="C61">
        <v>7</v>
      </c>
      <c r="D61">
        <v>0.23799999999999999</v>
      </c>
      <c r="E61">
        <v>0.749</v>
      </c>
      <c r="F61">
        <v>0.70299999999999996</v>
      </c>
      <c r="G61">
        <v>0</v>
      </c>
      <c r="H61" t="s">
        <v>20</v>
      </c>
      <c r="I61" t="s">
        <v>14</v>
      </c>
    </row>
    <row r="62" spans="1:9" x14ac:dyDescent="0.3">
      <c r="A62" t="s">
        <v>34</v>
      </c>
      <c r="B62">
        <v>7</v>
      </c>
      <c r="C62">
        <v>9</v>
      </c>
      <c r="D62">
        <v>0.23799999999999999</v>
      </c>
      <c r="E62">
        <v>0.93700000000000006</v>
      </c>
      <c r="F62">
        <v>0.625</v>
      </c>
      <c r="G62">
        <v>1</v>
      </c>
      <c r="H62" t="s">
        <v>9</v>
      </c>
      <c r="I62" t="s">
        <v>11</v>
      </c>
    </row>
    <row r="63" spans="1:9" x14ac:dyDescent="0.3">
      <c r="A63" t="s">
        <v>34</v>
      </c>
      <c r="B63">
        <v>8</v>
      </c>
      <c r="C63">
        <v>4</v>
      </c>
      <c r="D63">
        <v>2.504</v>
      </c>
      <c r="E63">
        <v>0.85099999999999998</v>
      </c>
      <c r="F63">
        <v>0.17299999999999999</v>
      </c>
      <c r="G63">
        <v>0</v>
      </c>
      <c r="H63" t="s">
        <v>7</v>
      </c>
      <c r="I63" t="s">
        <v>12</v>
      </c>
    </row>
    <row r="64" spans="1:9" x14ac:dyDescent="0.3">
      <c r="A64" t="s">
        <v>34</v>
      </c>
      <c r="B64">
        <v>9</v>
      </c>
      <c r="C64">
        <v>8</v>
      </c>
      <c r="D64">
        <v>-1.3029999999999999</v>
      </c>
      <c r="E64">
        <v>0.90300000000000002</v>
      </c>
      <c r="F64">
        <v>0.89600000000000002</v>
      </c>
      <c r="G64">
        <v>1</v>
      </c>
      <c r="H64" t="s">
        <v>10</v>
      </c>
      <c r="I64" t="s">
        <v>13</v>
      </c>
    </row>
    <row r="65" spans="1:9" x14ac:dyDescent="0.3">
      <c r="A65" t="s">
        <v>35</v>
      </c>
      <c r="B65">
        <v>1</v>
      </c>
      <c r="C65">
        <v>3</v>
      </c>
      <c r="D65">
        <v>0.81799999999999995</v>
      </c>
      <c r="E65">
        <v>0.54800000000000004</v>
      </c>
      <c r="F65">
        <v>0.49399999999999999</v>
      </c>
      <c r="G65">
        <v>0</v>
      </c>
      <c r="H65" t="s">
        <v>26</v>
      </c>
      <c r="I65" t="s">
        <v>12</v>
      </c>
    </row>
    <row r="66" spans="1:9" x14ac:dyDescent="0.3">
      <c r="A66" t="s">
        <v>35</v>
      </c>
      <c r="B66">
        <v>2</v>
      </c>
      <c r="C66">
        <v>1</v>
      </c>
      <c r="D66">
        <v>0.63200000000000001</v>
      </c>
      <c r="E66">
        <v>0.80900000000000005</v>
      </c>
      <c r="F66">
        <v>0.47899999999999998</v>
      </c>
      <c r="G66">
        <v>1</v>
      </c>
      <c r="H66" t="s">
        <v>24</v>
      </c>
      <c r="I66" t="s">
        <v>11</v>
      </c>
    </row>
    <row r="67" spans="1:9" x14ac:dyDescent="0.3">
      <c r="A67" t="s">
        <v>35</v>
      </c>
      <c r="B67">
        <v>3</v>
      </c>
      <c r="C67">
        <v>5</v>
      </c>
      <c r="D67">
        <v>0.44</v>
      </c>
      <c r="E67">
        <v>1.0129999999999999</v>
      </c>
      <c r="F67">
        <v>0.59099999999999997</v>
      </c>
      <c r="G67">
        <v>1</v>
      </c>
      <c r="H67" t="s">
        <v>19</v>
      </c>
      <c r="I67" t="s">
        <v>13</v>
      </c>
    </row>
    <row r="68" spans="1:9" x14ac:dyDescent="0.3">
      <c r="A68" t="s">
        <v>35</v>
      </c>
      <c r="B68">
        <v>4</v>
      </c>
      <c r="C68">
        <v>6</v>
      </c>
      <c r="D68">
        <v>1.3680000000000001</v>
      </c>
      <c r="E68">
        <v>0.80700000000000005</v>
      </c>
      <c r="F68">
        <v>0.41199999999999998</v>
      </c>
      <c r="G68">
        <v>0</v>
      </c>
      <c r="H68" t="s">
        <v>8</v>
      </c>
      <c r="I68" t="s">
        <v>12</v>
      </c>
    </row>
    <row r="69" spans="1:9" x14ac:dyDescent="0.3">
      <c r="A69" t="s">
        <v>35</v>
      </c>
      <c r="B69">
        <v>5</v>
      </c>
      <c r="C69">
        <v>7</v>
      </c>
      <c r="D69">
        <v>0.23799999999999999</v>
      </c>
      <c r="E69">
        <v>0.98799999999999999</v>
      </c>
      <c r="F69">
        <v>0.63900000000000001</v>
      </c>
      <c r="G69">
        <v>1</v>
      </c>
      <c r="H69" t="s">
        <v>20</v>
      </c>
      <c r="I69" t="s">
        <v>14</v>
      </c>
    </row>
    <row r="70" spans="1:9" x14ac:dyDescent="0.3">
      <c r="A70" t="s">
        <v>35</v>
      </c>
      <c r="B70">
        <v>6</v>
      </c>
      <c r="C70">
        <v>9</v>
      </c>
      <c r="D70">
        <v>0.23799999999999999</v>
      </c>
      <c r="E70">
        <v>1.1479999999999999</v>
      </c>
      <c r="F70">
        <v>0.67900000000000005</v>
      </c>
      <c r="G70">
        <v>1</v>
      </c>
      <c r="H70" t="s">
        <v>9</v>
      </c>
      <c r="I70" t="s">
        <v>11</v>
      </c>
    </row>
    <row r="71" spans="1:9" x14ac:dyDescent="0.3">
      <c r="A71" t="s">
        <v>35</v>
      </c>
      <c r="B71">
        <v>7</v>
      </c>
      <c r="C71">
        <v>2</v>
      </c>
      <c r="D71">
        <v>2.2240000000000002</v>
      </c>
      <c r="E71">
        <v>1.5209999999999999</v>
      </c>
      <c r="F71">
        <v>0.254</v>
      </c>
      <c r="G71">
        <v>1</v>
      </c>
      <c r="H71" t="s">
        <v>25</v>
      </c>
      <c r="I71" t="s">
        <v>12</v>
      </c>
    </row>
    <row r="72" spans="1:9" x14ac:dyDescent="0.3">
      <c r="A72" t="s">
        <v>35</v>
      </c>
      <c r="B72">
        <v>8</v>
      </c>
      <c r="C72">
        <v>4</v>
      </c>
      <c r="D72">
        <v>2.504</v>
      </c>
      <c r="E72">
        <v>1.885</v>
      </c>
      <c r="F72">
        <v>0.27200000000000002</v>
      </c>
      <c r="G72">
        <v>1</v>
      </c>
      <c r="H72" t="s">
        <v>7</v>
      </c>
      <c r="I72" t="s">
        <v>12</v>
      </c>
    </row>
    <row r="73" spans="1:9" x14ac:dyDescent="0.3">
      <c r="A73" t="s">
        <v>35</v>
      </c>
      <c r="B73">
        <v>9</v>
      </c>
      <c r="C73">
        <v>8</v>
      </c>
      <c r="D73">
        <v>-1.3029999999999999</v>
      </c>
      <c r="E73">
        <v>1.905</v>
      </c>
      <c r="F73">
        <v>0.96</v>
      </c>
      <c r="G73">
        <v>1</v>
      </c>
      <c r="H73" t="s">
        <v>10</v>
      </c>
      <c r="I73" t="s">
        <v>13</v>
      </c>
    </row>
    <row r="74" spans="1:9" x14ac:dyDescent="0.3">
      <c r="A74" t="s">
        <v>36</v>
      </c>
      <c r="B74">
        <v>1</v>
      </c>
      <c r="C74">
        <v>3</v>
      </c>
      <c r="D74">
        <v>0.81799999999999995</v>
      </c>
      <c r="E74">
        <v>1.048</v>
      </c>
      <c r="F74">
        <v>0.49399999999999999</v>
      </c>
      <c r="G74">
        <v>1</v>
      </c>
      <c r="H74" t="s">
        <v>26</v>
      </c>
      <c r="I74" t="s">
        <v>12</v>
      </c>
    </row>
    <row r="75" spans="1:9" x14ac:dyDescent="0.3">
      <c r="A75" t="s">
        <v>36</v>
      </c>
      <c r="B75">
        <v>2</v>
      </c>
      <c r="C75">
        <v>6</v>
      </c>
      <c r="D75">
        <v>1.3680000000000001</v>
      </c>
      <c r="E75">
        <v>0.83799999999999997</v>
      </c>
      <c r="F75">
        <v>0.42099999999999999</v>
      </c>
      <c r="G75">
        <v>0</v>
      </c>
      <c r="H75" t="s">
        <v>8</v>
      </c>
      <c r="I75" t="s">
        <v>12</v>
      </c>
    </row>
    <row r="76" spans="1:9" x14ac:dyDescent="0.3">
      <c r="A76" t="s">
        <v>36</v>
      </c>
      <c r="B76">
        <v>3</v>
      </c>
      <c r="C76">
        <v>1</v>
      </c>
      <c r="D76">
        <v>0.63200000000000001</v>
      </c>
      <c r="E76">
        <v>1.0620000000000001</v>
      </c>
      <c r="F76">
        <v>0.55100000000000005</v>
      </c>
      <c r="G76">
        <v>1</v>
      </c>
      <c r="H76" t="s">
        <v>24</v>
      </c>
      <c r="I76" t="s">
        <v>11</v>
      </c>
    </row>
    <row r="77" spans="1:9" x14ac:dyDescent="0.3">
      <c r="A77" t="s">
        <v>36</v>
      </c>
      <c r="B77">
        <v>4</v>
      </c>
      <c r="C77">
        <v>5</v>
      </c>
      <c r="D77">
        <v>0.44</v>
      </c>
      <c r="E77">
        <v>1.2370000000000001</v>
      </c>
      <c r="F77">
        <v>0.65100000000000002</v>
      </c>
      <c r="G77">
        <v>1</v>
      </c>
      <c r="H77" t="s">
        <v>19</v>
      </c>
      <c r="I77" t="s">
        <v>13</v>
      </c>
    </row>
    <row r="78" spans="1:9" x14ac:dyDescent="0.3">
      <c r="A78" t="s">
        <v>36</v>
      </c>
      <c r="B78">
        <v>5</v>
      </c>
      <c r="C78">
        <v>2</v>
      </c>
      <c r="D78">
        <v>2.2240000000000002</v>
      </c>
      <c r="E78">
        <v>1.601</v>
      </c>
      <c r="F78">
        <v>0.27200000000000002</v>
      </c>
      <c r="G78">
        <v>1</v>
      </c>
      <c r="H78" t="s">
        <v>25</v>
      </c>
      <c r="I78" t="s">
        <v>12</v>
      </c>
    </row>
    <row r="79" spans="1:9" x14ac:dyDescent="0.3">
      <c r="A79" t="s">
        <v>36</v>
      </c>
      <c r="B79">
        <v>6</v>
      </c>
      <c r="C79">
        <v>4</v>
      </c>
      <c r="D79">
        <v>2.504</v>
      </c>
      <c r="E79">
        <v>1.4570000000000001</v>
      </c>
      <c r="F79">
        <v>0.28799999999999998</v>
      </c>
      <c r="G79">
        <v>0</v>
      </c>
      <c r="H79" t="s">
        <v>7</v>
      </c>
      <c r="I79" t="s">
        <v>12</v>
      </c>
    </row>
    <row r="80" spans="1:9" x14ac:dyDescent="0.3">
      <c r="A80" t="s">
        <v>36</v>
      </c>
      <c r="B80">
        <v>7</v>
      </c>
      <c r="C80">
        <v>7</v>
      </c>
      <c r="D80">
        <v>0.23799999999999999</v>
      </c>
      <c r="E80">
        <v>1.571</v>
      </c>
      <c r="F80">
        <v>0.77200000000000002</v>
      </c>
      <c r="G80">
        <v>1</v>
      </c>
      <c r="H80" t="s">
        <v>20</v>
      </c>
      <c r="I80" t="s">
        <v>14</v>
      </c>
    </row>
    <row r="81" spans="1:9" x14ac:dyDescent="0.3">
      <c r="A81" t="s">
        <v>36</v>
      </c>
      <c r="B81">
        <v>8</v>
      </c>
      <c r="C81">
        <v>9</v>
      </c>
      <c r="D81">
        <v>0.23799999999999999</v>
      </c>
      <c r="E81">
        <v>1.675</v>
      </c>
      <c r="F81">
        <v>0.79100000000000004</v>
      </c>
      <c r="G81">
        <v>1</v>
      </c>
      <c r="H81" t="s">
        <v>9</v>
      </c>
      <c r="I81" t="s">
        <v>11</v>
      </c>
    </row>
    <row r="82" spans="1:9" x14ac:dyDescent="0.3">
      <c r="A82" t="s">
        <v>36</v>
      </c>
      <c r="B82">
        <v>9</v>
      </c>
      <c r="C82">
        <v>8</v>
      </c>
      <c r="D82">
        <v>-1.3029999999999999</v>
      </c>
      <c r="E82">
        <v>1.7</v>
      </c>
      <c r="F82">
        <v>0.95199999999999996</v>
      </c>
      <c r="G82">
        <v>1</v>
      </c>
      <c r="H82" t="s">
        <v>10</v>
      </c>
      <c r="I82" t="s">
        <v>13</v>
      </c>
    </row>
    <row r="83" spans="1:9" x14ac:dyDescent="0.3">
      <c r="A83" t="s">
        <v>37</v>
      </c>
      <c r="B83">
        <v>1</v>
      </c>
      <c r="C83">
        <v>3</v>
      </c>
      <c r="D83">
        <v>0.81799999999999995</v>
      </c>
      <c r="E83">
        <v>0.54800000000000004</v>
      </c>
      <c r="F83">
        <v>0.49399999999999999</v>
      </c>
      <c r="G83">
        <v>0</v>
      </c>
      <c r="H83" t="s">
        <v>26</v>
      </c>
      <c r="I83" t="s">
        <v>12</v>
      </c>
    </row>
    <row r="84" spans="1:9" x14ac:dyDescent="0.3">
      <c r="A84" t="s">
        <v>37</v>
      </c>
      <c r="B84">
        <v>2</v>
      </c>
      <c r="C84">
        <v>1</v>
      </c>
      <c r="D84">
        <v>0.63200000000000001</v>
      </c>
      <c r="E84">
        <v>0.309</v>
      </c>
      <c r="F84">
        <v>0.47899999999999998</v>
      </c>
      <c r="G84">
        <v>0</v>
      </c>
      <c r="H84" t="s">
        <v>24</v>
      </c>
      <c r="I84" t="s">
        <v>11</v>
      </c>
    </row>
    <row r="85" spans="1:9" x14ac:dyDescent="0.3">
      <c r="A85" t="s">
        <v>37</v>
      </c>
      <c r="B85">
        <v>3</v>
      </c>
      <c r="C85">
        <v>7</v>
      </c>
      <c r="D85">
        <v>0.23799999999999999</v>
      </c>
      <c r="E85">
        <v>0.55000000000000004</v>
      </c>
      <c r="F85">
        <v>0.51800000000000002</v>
      </c>
      <c r="G85">
        <v>1</v>
      </c>
      <c r="H85" t="s">
        <v>20</v>
      </c>
      <c r="I85" t="s">
        <v>14</v>
      </c>
    </row>
    <row r="86" spans="1:9" x14ac:dyDescent="0.3">
      <c r="A86" t="s">
        <v>37</v>
      </c>
      <c r="B86">
        <v>4</v>
      </c>
      <c r="C86">
        <v>5</v>
      </c>
      <c r="D86">
        <v>0.44</v>
      </c>
      <c r="E86">
        <v>0.78600000000000003</v>
      </c>
      <c r="F86">
        <v>0.52700000000000002</v>
      </c>
      <c r="G86">
        <v>1</v>
      </c>
      <c r="H86" t="s">
        <v>19</v>
      </c>
      <c r="I86" t="s">
        <v>13</v>
      </c>
    </row>
    <row r="87" spans="1:9" x14ac:dyDescent="0.3">
      <c r="A87" t="s">
        <v>37</v>
      </c>
      <c r="B87">
        <v>5</v>
      </c>
      <c r="C87">
        <v>9</v>
      </c>
      <c r="D87">
        <v>0.23799999999999999</v>
      </c>
      <c r="E87">
        <v>0.46899999999999997</v>
      </c>
      <c r="F87">
        <v>0.63400000000000001</v>
      </c>
      <c r="G87">
        <v>0</v>
      </c>
      <c r="H87" t="s">
        <v>9</v>
      </c>
      <c r="I87" t="s">
        <v>11</v>
      </c>
    </row>
    <row r="88" spans="1:9" x14ac:dyDescent="0.3">
      <c r="A88" t="s">
        <v>37</v>
      </c>
      <c r="B88">
        <v>6</v>
      </c>
      <c r="C88">
        <v>6</v>
      </c>
      <c r="D88">
        <v>1.3680000000000001</v>
      </c>
      <c r="E88">
        <v>0.82499999999999996</v>
      </c>
      <c r="F88">
        <v>0.28899999999999998</v>
      </c>
      <c r="G88">
        <v>1</v>
      </c>
      <c r="H88" t="s">
        <v>8</v>
      </c>
      <c r="I88" t="s">
        <v>12</v>
      </c>
    </row>
    <row r="89" spans="1:9" x14ac:dyDescent="0.3">
      <c r="A89" t="s">
        <v>37</v>
      </c>
      <c r="B89">
        <v>7</v>
      </c>
      <c r="C89">
        <v>2</v>
      </c>
      <c r="D89">
        <v>2.2240000000000002</v>
      </c>
      <c r="E89">
        <v>0.72599999999999998</v>
      </c>
      <c r="F89">
        <v>0.19800000000000001</v>
      </c>
      <c r="G89">
        <v>0</v>
      </c>
      <c r="H89" t="s">
        <v>25</v>
      </c>
      <c r="I89" t="s">
        <v>12</v>
      </c>
    </row>
    <row r="90" spans="1:9" x14ac:dyDescent="0.3">
      <c r="A90" t="s">
        <v>37</v>
      </c>
      <c r="B90">
        <v>8</v>
      </c>
      <c r="C90">
        <v>4</v>
      </c>
      <c r="D90">
        <v>2.504</v>
      </c>
      <c r="E90">
        <v>0.65300000000000002</v>
      </c>
      <c r="F90">
        <v>0.14399999999999999</v>
      </c>
      <c r="G90">
        <v>0</v>
      </c>
      <c r="H90" t="s">
        <v>7</v>
      </c>
      <c r="I90" t="s">
        <v>12</v>
      </c>
    </row>
    <row r="91" spans="1:9" x14ac:dyDescent="0.3">
      <c r="A91" t="s">
        <v>37</v>
      </c>
      <c r="B91">
        <v>9</v>
      </c>
      <c r="C91">
        <v>8</v>
      </c>
      <c r="D91">
        <v>-1.3029999999999999</v>
      </c>
      <c r="E91">
        <v>0.71499999999999997</v>
      </c>
      <c r="F91">
        <v>0.876</v>
      </c>
      <c r="G91">
        <v>1</v>
      </c>
      <c r="H91" t="s">
        <v>10</v>
      </c>
      <c r="I91" t="s">
        <v>13</v>
      </c>
    </row>
    <row r="92" spans="1:9" x14ac:dyDescent="0.3">
      <c r="A92" t="s">
        <v>38</v>
      </c>
      <c r="B92">
        <v>1</v>
      </c>
      <c r="C92">
        <v>3</v>
      </c>
      <c r="D92">
        <v>0.81799999999999995</v>
      </c>
      <c r="E92">
        <v>0.54800000000000004</v>
      </c>
      <c r="F92">
        <v>0.49399999999999999</v>
      </c>
      <c r="G92">
        <v>0</v>
      </c>
      <c r="H92" t="s">
        <v>26</v>
      </c>
      <c r="I92" t="s">
        <v>12</v>
      </c>
    </row>
    <row r="93" spans="1:9" x14ac:dyDescent="0.3">
      <c r="A93" t="s">
        <v>38</v>
      </c>
      <c r="B93">
        <v>2</v>
      </c>
      <c r="C93">
        <v>1</v>
      </c>
      <c r="D93">
        <v>0.63200000000000001</v>
      </c>
      <c r="E93">
        <v>0.80900000000000005</v>
      </c>
      <c r="F93">
        <v>0.47899999999999998</v>
      </c>
      <c r="G93">
        <v>1</v>
      </c>
      <c r="H93" t="s">
        <v>24</v>
      </c>
      <c r="I93" t="s">
        <v>11</v>
      </c>
    </row>
    <row r="94" spans="1:9" x14ac:dyDescent="0.3">
      <c r="A94" t="s">
        <v>38</v>
      </c>
      <c r="B94">
        <v>3</v>
      </c>
      <c r="C94">
        <v>5</v>
      </c>
      <c r="D94">
        <v>0.44</v>
      </c>
      <c r="E94">
        <v>0.51300000000000001</v>
      </c>
      <c r="F94">
        <v>0.59099999999999997</v>
      </c>
      <c r="G94">
        <v>0</v>
      </c>
      <c r="H94" t="s">
        <v>19</v>
      </c>
      <c r="I94" t="s">
        <v>13</v>
      </c>
    </row>
    <row r="95" spans="1:9" x14ac:dyDescent="0.3">
      <c r="A95" t="s">
        <v>38</v>
      </c>
      <c r="B95">
        <v>4</v>
      </c>
      <c r="C95">
        <v>7</v>
      </c>
      <c r="D95">
        <v>0.23799999999999999</v>
      </c>
      <c r="E95">
        <v>0.72899999999999998</v>
      </c>
      <c r="F95">
        <v>0.56799999999999995</v>
      </c>
      <c r="G95">
        <v>1</v>
      </c>
      <c r="H95" t="s">
        <v>20</v>
      </c>
      <c r="I95" t="s">
        <v>14</v>
      </c>
    </row>
    <row r="96" spans="1:9" x14ac:dyDescent="0.3">
      <c r="A96" t="s">
        <v>38</v>
      </c>
      <c r="B96">
        <v>5</v>
      </c>
      <c r="C96">
        <v>9</v>
      </c>
      <c r="D96">
        <v>0.23799999999999999</v>
      </c>
      <c r="E96">
        <v>0.91900000000000004</v>
      </c>
      <c r="F96">
        <v>0.62</v>
      </c>
      <c r="G96">
        <v>1</v>
      </c>
      <c r="H96" t="s">
        <v>9</v>
      </c>
      <c r="I96" t="s">
        <v>11</v>
      </c>
    </row>
    <row r="97" spans="1:9" x14ac:dyDescent="0.3">
      <c r="A97" t="s">
        <v>38</v>
      </c>
      <c r="B97">
        <v>6</v>
      </c>
      <c r="C97">
        <v>6</v>
      </c>
      <c r="D97">
        <v>1.3680000000000001</v>
      </c>
      <c r="E97">
        <v>0.72399999999999998</v>
      </c>
      <c r="F97">
        <v>0.39</v>
      </c>
      <c r="G97">
        <v>0</v>
      </c>
      <c r="H97" t="s">
        <v>8</v>
      </c>
      <c r="I97" t="s">
        <v>12</v>
      </c>
    </row>
    <row r="98" spans="1:9" x14ac:dyDescent="0.3">
      <c r="A98" t="s">
        <v>38</v>
      </c>
      <c r="B98">
        <v>7</v>
      </c>
      <c r="C98">
        <v>2</v>
      </c>
      <c r="D98">
        <v>2.2240000000000002</v>
      </c>
      <c r="E98">
        <v>1.133</v>
      </c>
      <c r="F98">
        <v>0.182</v>
      </c>
      <c r="G98">
        <v>1</v>
      </c>
      <c r="H98" t="s">
        <v>25</v>
      </c>
      <c r="I98" t="s">
        <v>12</v>
      </c>
    </row>
    <row r="99" spans="1:9" x14ac:dyDescent="0.3">
      <c r="A99" t="s">
        <v>38</v>
      </c>
      <c r="B99">
        <v>8</v>
      </c>
      <c r="C99">
        <v>4</v>
      </c>
      <c r="D99">
        <v>2.504</v>
      </c>
      <c r="E99">
        <v>1.032</v>
      </c>
      <c r="F99">
        <v>0.20200000000000001</v>
      </c>
      <c r="G99">
        <v>0</v>
      </c>
      <c r="H99" t="s">
        <v>7</v>
      </c>
      <c r="I99" t="s">
        <v>12</v>
      </c>
    </row>
    <row r="100" spans="1:9" x14ac:dyDescent="0.3">
      <c r="A100" t="s">
        <v>38</v>
      </c>
      <c r="B100">
        <v>9</v>
      </c>
      <c r="C100">
        <v>8</v>
      </c>
      <c r="D100">
        <v>-1.3029999999999999</v>
      </c>
      <c r="E100">
        <v>1.0760000000000001</v>
      </c>
      <c r="F100">
        <v>0.91200000000000003</v>
      </c>
      <c r="G100">
        <v>1</v>
      </c>
      <c r="H100" t="s">
        <v>10</v>
      </c>
      <c r="I100" t="s">
        <v>13</v>
      </c>
    </row>
    <row r="101" spans="1:9" x14ac:dyDescent="0.3">
      <c r="A101" t="s">
        <v>39</v>
      </c>
      <c r="B101">
        <v>1</v>
      </c>
      <c r="C101">
        <v>3</v>
      </c>
      <c r="D101">
        <v>0.81799999999999995</v>
      </c>
      <c r="E101">
        <v>1.048</v>
      </c>
      <c r="F101">
        <v>0.49399999999999999</v>
      </c>
      <c r="G101">
        <v>1</v>
      </c>
      <c r="H101" t="s">
        <v>26</v>
      </c>
      <c r="I101" t="s">
        <v>12</v>
      </c>
    </row>
    <row r="102" spans="1:9" x14ac:dyDescent="0.3">
      <c r="A102" t="s">
        <v>39</v>
      </c>
      <c r="B102">
        <v>2</v>
      </c>
      <c r="C102">
        <v>6</v>
      </c>
      <c r="D102">
        <v>1.3680000000000001</v>
      </c>
      <c r="E102">
        <v>0.83799999999999997</v>
      </c>
      <c r="F102">
        <v>0.42099999999999999</v>
      </c>
      <c r="G102">
        <v>0</v>
      </c>
      <c r="H102" t="s">
        <v>8</v>
      </c>
      <c r="I102" t="s">
        <v>12</v>
      </c>
    </row>
    <row r="103" spans="1:9" x14ac:dyDescent="0.3">
      <c r="A103" t="s">
        <v>39</v>
      </c>
      <c r="B103">
        <v>3</v>
      </c>
      <c r="C103">
        <v>1</v>
      </c>
      <c r="D103">
        <v>0.63200000000000001</v>
      </c>
      <c r="E103">
        <v>1.0620000000000001</v>
      </c>
      <c r="F103">
        <v>0.55100000000000005</v>
      </c>
      <c r="G103">
        <v>1</v>
      </c>
      <c r="H103" t="s">
        <v>24</v>
      </c>
      <c r="I103" t="s">
        <v>11</v>
      </c>
    </row>
    <row r="104" spans="1:9" x14ac:dyDescent="0.3">
      <c r="A104" t="s">
        <v>39</v>
      </c>
      <c r="B104">
        <v>4</v>
      </c>
      <c r="C104">
        <v>5</v>
      </c>
      <c r="D104">
        <v>0.44</v>
      </c>
      <c r="E104">
        <v>1.2370000000000001</v>
      </c>
      <c r="F104">
        <v>0.65100000000000002</v>
      </c>
      <c r="G104">
        <v>1</v>
      </c>
      <c r="H104" t="s">
        <v>19</v>
      </c>
      <c r="I104" t="s">
        <v>13</v>
      </c>
    </row>
    <row r="105" spans="1:9" x14ac:dyDescent="0.3">
      <c r="A105" t="s">
        <v>39</v>
      </c>
      <c r="B105">
        <v>5</v>
      </c>
      <c r="C105">
        <v>2</v>
      </c>
      <c r="D105">
        <v>2.2240000000000002</v>
      </c>
      <c r="E105">
        <v>1.101</v>
      </c>
      <c r="F105">
        <v>0.27200000000000002</v>
      </c>
      <c r="G105">
        <v>0</v>
      </c>
      <c r="H105" t="s">
        <v>25</v>
      </c>
      <c r="I105" t="s">
        <v>12</v>
      </c>
    </row>
    <row r="106" spans="1:9" x14ac:dyDescent="0.3">
      <c r="A106" t="s">
        <v>39</v>
      </c>
      <c r="B106">
        <v>6</v>
      </c>
      <c r="C106">
        <v>7</v>
      </c>
      <c r="D106">
        <v>0.23799999999999999</v>
      </c>
      <c r="E106">
        <v>1.2490000000000001</v>
      </c>
      <c r="F106">
        <v>0.70299999999999996</v>
      </c>
      <c r="G106">
        <v>1</v>
      </c>
      <c r="H106" t="s">
        <v>20</v>
      </c>
      <c r="I106" t="s">
        <v>14</v>
      </c>
    </row>
    <row r="107" spans="1:9" x14ac:dyDescent="0.3">
      <c r="A107" t="s">
        <v>39</v>
      </c>
      <c r="B107">
        <v>7</v>
      </c>
      <c r="C107">
        <v>9</v>
      </c>
      <c r="D107">
        <v>0.23799999999999999</v>
      </c>
      <c r="E107">
        <v>0.88300000000000001</v>
      </c>
      <c r="F107">
        <v>0.73299999999999998</v>
      </c>
      <c r="G107">
        <v>0</v>
      </c>
      <c r="H107" t="s">
        <v>9</v>
      </c>
      <c r="I107" t="s">
        <v>11</v>
      </c>
    </row>
    <row r="108" spans="1:9" x14ac:dyDescent="0.3">
      <c r="A108" t="s">
        <v>39</v>
      </c>
      <c r="B108">
        <v>8</v>
      </c>
      <c r="C108">
        <v>4</v>
      </c>
      <c r="D108">
        <v>2.504</v>
      </c>
      <c r="E108">
        <v>0.8</v>
      </c>
      <c r="F108">
        <v>0.16500000000000001</v>
      </c>
      <c r="G108">
        <v>0</v>
      </c>
      <c r="H108" t="s">
        <v>7</v>
      </c>
      <c r="I108" t="s">
        <v>12</v>
      </c>
    </row>
    <row r="109" spans="1:9" x14ac:dyDescent="0.3">
      <c r="A109" t="s">
        <v>39</v>
      </c>
      <c r="B109">
        <v>9</v>
      </c>
      <c r="C109">
        <v>8</v>
      </c>
      <c r="D109">
        <v>-1.3029999999999999</v>
      </c>
      <c r="E109">
        <v>0.85499999999999998</v>
      </c>
      <c r="F109">
        <v>0.89100000000000001</v>
      </c>
      <c r="G109">
        <v>1</v>
      </c>
      <c r="H109" t="s">
        <v>10</v>
      </c>
      <c r="I109" t="s">
        <v>13</v>
      </c>
    </row>
    <row r="110" spans="1:9" x14ac:dyDescent="0.3">
      <c r="A110" t="s">
        <v>40</v>
      </c>
      <c r="B110">
        <v>1</v>
      </c>
      <c r="C110">
        <v>3</v>
      </c>
      <c r="D110">
        <v>0.81799999999999995</v>
      </c>
      <c r="E110">
        <v>1.048</v>
      </c>
      <c r="F110">
        <v>0.49399999999999999</v>
      </c>
      <c r="G110">
        <v>1</v>
      </c>
      <c r="H110" t="s">
        <v>26</v>
      </c>
      <c r="I110" t="s">
        <v>12</v>
      </c>
    </row>
    <row r="111" spans="1:9" x14ac:dyDescent="0.3">
      <c r="A111" t="s">
        <v>40</v>
      </c>
      <c r="B111">
        <v>2</v>
      </c>
      <c r="C111">
        <v>6</v>
      </c>
      <c r="D111">
        <v>1.3680000000000001</v>
      </c>
      <c r="E111">
        <v>0.83799999999999997</v>
      </c>
      <c r="F111">
        <v>0.42099999999999999</v>
      </c>
      <c r="G111">
        <v>0</v>
      </c>
      <c r="H111" t="s">
        <v>8</v>
      </c>
      <c r="I111" t="s">
        <v>12</v>
      </c>
    </row>
    <row r="112" spans="1:9" x14ac:dyDescent="0.3">
      <c r="A112" t="s">
        <v>40</v>
      </c>
      <c r="B112">
        <v>3</v>
      </c>
      <c r="C112">
        <v>1</v>
      </c>
      <c r="D112">
        <v>0.63200000000000001</v>
      </c>
      <c r="E112">
        <v>1.0620000000000001</v>
      </c>
      <c r="F112">
        <v>0.55100000000000005</v>
      </c>
      <c r="G112">
        <v>1</v>
      </c>
      <c r="H112" t="s">
        <v>24</v>
      </c>
      <c r="I112" t="s">
        <v>11</v>
      </c>
    </row>
    <row r="113" spans="1:9" x14ac:dyDescent="0.3">
      <c r="A113" t="s">
        <v>40</v>
      </c>
      <c r="B113">
        <v>4</v>
      </c>
      <c r="C113">
        <v>5</v>
      </c>
      <c r="D113">
        <v>0.44</v>
      </c>
      <c r="E113">
        <v>1.2370000000000001</v>
      </c>
      <c r="F113">
        <v>0.65100000000000002</v>
      </c>
      <c r="G113">
        <v>1</v>
      </c>
      <c r="H113" t="s">
        <v>19</v>
      </c>
      <c r="I113" t="s">
        <v>13</v>
      </c>
    </row>
    <row r="114" spans="1:9" x14ac:dyDescent="0.3">
      <c r="A114" t="s">
        <v>40</v>
      </c>
      <c r="B114">
        <v>5</v>
      </c>
      <c r="C114">
        <v>2</v>
      </c>
      <c r="D114">
        <v>2.2240000000000002</v>
      </c>
      <c r="E114">
        <v>1.101</v>
      </c>
      <c r="F114">
        <v>0.27200000000000002</v>
      </c>
      <c r="G114">
        <v>0</v>
      </c>
      <c r="H114" t="s">
        <v>25</v>
      </c>
      <c r="I114" t="s">
        <v>12</v>
      </c>
    </row>
    <row r="115" spans="1:9" x14ac:dyDescent="0.3">
      <c r="A115" t="s">
        <v>40</v>
      </c>
      <c r="B115">
        <v>6</v>
      </c>
      <c r="C115">
        <v>7</v>
      </c>
      <c r="D115">
        <v>0.23799999999999999</v>
      </c>
      <c r="E115">
        <v>1.2490000000000001</v>
      </c>
      <c r="F115">
        <v>0.70299999999999996</v>
      </c>
      <c r="G115">
        <v>1</v>
      </c>
      <c r="H115" t="s">
        <v>20</v>
      </c>
      <c r="I115" t="s">
        <v>14</v>
      </c>
    </row>
    <row r="116" spans="1:9" x14ac:dyDescent="0.3">
      <c r="A116" t="s">
        <v>40</v>
      </c>
      <c r="B116">
        <v>7</v>
      </c>
      <c r="C116">
        <v>9</v>
      </c>
      <c r="D116">
        <v>0.23799999999999999</v>
      </c>
      <c r="E116">
        <v>1.383</v>
      </c>
      <c r="F116">
        <v>0.73299999999999998</v>
      </c>
      <c r="G116">
        <v>1</v>
      </c>
      <c r="H116" t="s">
        <v>9</v>
      </c>
      <c r="I116" t="s">
        <v>11</v>
      </c>
    </row>
    <row r="117" spans="1:9" x14ac:dyDescent="0.3">
      <c r="A117" t="s">
        <v>40</v>
      </c>
      <c r="B117">
        <v>8</v>
      </c>
      <c r="C117">
        <v>4</v>
      </c>
      <c r="D117">
        <v>2.504</v>
      </c>
      <c r="E117">
        <v>1.26</v>
      </c>
      <c r="F117">
        <v>0.246</v>
      </c>
      <c r="G117">
        <v>0</v>
      </c>
      <c r="H117" t="s">
        <v>7</v>
      </c>
      <c r="I117" t="s">
        <v>12</v>
      </c>
    </row>
    <row r="118" spans="1:9" x14ac:dyDescent="0.3">
      <c r="A118" t="s">
        <v>40</v>
      </c>
      <c r="B118">
        <v>9</v>
      </c>
      <c r="C118">
        <v>8</v>
      </c>
      <c r="D118">
        <v>-1.3029999999999999</v>
      </c>
      <c r="E118">
        <v>1.296</v>
      </c>
      <c r="F118">
        <v>0.92800000000000005</v>
      </c>
      <c r="G118">
        <v>1</v>
      </c>
      <c r="H118" t="s">
        <v>10</v>
      </c>
      <c r="I118" t="s">
        <v>13</v>
      </c>
    </row>
    <row r="119" spans="1:9" x14ac:dyDescent="0.3">
      <c r="A119" t="s">
        <v>41</v>
      </c>
      <c r="B119">
        <v>1</v>
      </c>
      <c r="C119">
        <v>3</v>
      </c>
      <c r="D119">
        <v>0.81799999999999995</v>
      </c>
      <c r="E119">
        <v>1.048</v>
      </c>
      <c r="F119">
        <v>0.49399999999999999</v>
      </c>
      <c r="G119">
        <v>1</v>
      </c>
      <c r="H119" t="s">
        <v>26</v>
      </c>
      <c r="I119" t="s">
        <v>12</v>
      </c>
    </row>
    <row r="120" spans="1:9" x14ac:dyDescent="0.3">
      <c r="A120" t="s">
        <v>41</v>
      </c>
      <c r="B120">
        <v>2</v>
      </c>
      <c r="C120">
        <v>6</v>
      </c>
      <c r="D120">
        <v>1.3680000000000001</v>
      </c>
      <c r="E120">
        <v>0.83799999999999997</v>
      </c>
      <c r="F120">
        <v>0.42099999999999999</v>
      </c>
      <c r="G120">
        <v>0</v>
      </c>
      <c r="H120" t="s">
        <v>8</v>
      </c>
      <c r="I120" t="s">
        <v>12</v>
      </c>
    </row>
    <row r="121" spans="1:9" x14ac:dyDescent="0.3">
      <c r="A121" t="s">
        <v>41</v>
      </c>
      <c r="B121">
        <v>3</v>
      </c>
      <c r="C121">
        <v>1</v>
      </c>
      <c r="D121">
        <v>0.63200000000000001</v>
      </c>
      <c r="E121">
        <v>1.0620000000000001</v>
      </c>
      <c r="F121">
        <v>0.55100000000000005</v>
      </c>
      <c r="G121">
        <v>1</v>
      </c>
      <c r="H121" t="s">
        <v>24</v>
      </c>
      <c r="I121" t="s">
        <v>11</v>
      </c>
    </row>
    <row r="122" spans="1:9" x14ac:dyDescent="0.3">
      <c r="A122" t="s">
        <v>41</v>
      </c>
      <c r="B122">
        <v>4</v>
      </c>
      <c r="C122">
        <v>5</v>
      </c>
      <c r="D122">
        <v>0.44</v>
      </c>
      <c r="E122">
        <v>1.2370000000000001</v>
      </c>
      <c r="F122">
        <v>0.65100000000000002</v>
      </c>
      <c r="G122">
        <v>1</v>
      </c>
      <c r="H122" t="s">
        <v>19</v>
      </c>
      <c r="I122" t="s">
        <v>13</v>
      </c>
    </row>
    <row r="123" spans="1:9" x14ac:dyDescent="0.3">
      <c r="A123" t="s">
        <v>41</v>
      </c>
      <c r="B123">
        <v>5</v>
      </c>
      <c r="C123">
        <v>2</v>
      </c>
      <c r="D123">
        <v>2.2240000000000002</v>
      </c>
      <c r="E123">
        <v>1.101</v>
      </c>
      <c r="F123">
        <v>0.27200000000000002</v>
      </c>
      <c r="G123">
        <v>0</v>
      </c>
      <c r="H123" t="s">
        <v>25</v>
      </c>
      <c r="I123" t="s">
        <v>12</v>
      </c>
    </row>
    <row r="124" spans="1:9" x14ac:dyDescent="0.3">
      <c r="A124" t="s">
        <v>41</v>
      </c>
      <c r="B124">
        <v>6</v>
      </c>
      <c r="C124">
        <v>7</v>
      </c>
      <c r="D124">
        <v>0.23799999999999999</v>
      </c>
      <c r="E124">
        <v>1.2490000000000001</v>
      </c>
      <c r="F124">
        <v>0.70299999999999996</v>
      </c>
      <c r="G124">
        <v>1</v>
      </c>
      <c r="H124" t="s">
        <v>20</v>
      </c>
      <c r="I124" t="s">
        <v>14</v>
      </c>
    </row>
    <row r="125" spans="1:9" x14ac:dyDescent="0.3">
      <c r="A125" t="s">
        <v>41</v>
      </c>
      <c r="B125">
        <v>7</v>
      </c>
      <c r="C125">
        <v>9</v>
      </c>
      <c r="D125">
        <v>0.23799999999999999</v>
      </c>
      <c r="E125">
        <v>1.383</v>
      </c>
      <c r="F125">
        <v>0.73299999999999998</v>
      </c>
      <c r="G125">
        <v>1</v>
      </c>
      <c r="H125" t="s">
        <v>9</v>
      </c>
      <c r="I125" t="s">
        <v>11</v>
      </c>
    </row>
    <row r="126" spans="1:9" x14ac:dyDescent="0.3">
      <c r="A126" t="s">
        <v>41</v>
      </c>
      <c r="B126">
        <v>8</v>
      </c>
      <c r="C126">
        <v>4</v>
      </c>
      <c r="D126">
        <v>2.504</v>
      </c>
      <c r="E126">
        <v>1.26</v>
      </c>
      <c r="F126">
        <v>0.246</v>
      </c>
      <c r="G126">
        <v>0</v>
      </c>
      <c r="H126" t="s">
        <v>7</v>
      </c>
      <c r="I126" t="s">
        <v>12</v>
      </c>
    </row>
    <row r="127" spans="1:9" x14ac:dyDescent="0.3">
      <c r="A127" t="s">
        <v>41</v>
      </c>
      <c r="B127">
        <v>9</v>
      </c>
      <c r="C127">
        <v>8</v>
      </c>
      <c r="D127">
        <v>-1.3029999999999999</v>
      </c>
      <c r="E127">
        <v>0.79600000000000004</v>
      </c>
      <c r="F127">
        <v>0.92800000000000005</v>
      </c>
      <c r="G127">
        <v>0</v>
      </c>
      <c r="H127" t="s">
        <v>10</v>
      </c>
      <c r="I127" t="s">
        <v>13</v>
      </c>
    </row>
    <row r="128" spans="1:9" x14ac:dyDescent="0.3">
      <c r="A128" t="s">
        <v>42</v>
      </c>
      <c r="B128">
        <v>1</v>
      </c>
      <c r="C128">
        <v>3</v>
      </c>
      <c r="D128">
        <v>0.81799999999999995</v>
      </c>
      <c r="E128">
        <v>1.048</v>
      </c>
      <c r="F128">
        <v>0.49399999999999999</v>
      </c>
      <c r="G128">
        <v>1</v>
      </c>
      <c r="H128" t="s">
        <v>26</v>
      </c>
      <c r="I128" t="s">
        <v>12</v>
      </c>
    </row>
    <row r="129" spans="1:9" x14ac:dyDescent="0.3">
      <c r="A129" t="s">
        <v>42</v>
      </c>
      <c r="B129">
        <v>2</v>
      </c>
      <c r="C129">
        <v>6</v>
      </c>
      <c r="D129">
        <v>1.3680000000000001</v>
      </c>
      <c r="E129">
        <v>0.83799999999999997</v>
      </c>
      <c r="F129">
        <v>0.42099999999999999</v>
      </c>
      <c r="G129">
        <v>0</v>
      </c>
      <c r="H129" t="s">
        <v>8</v>
      </c>
      <c r="I129" t="s">
        <v>12</v>
      </c>
    </row>
    <row r="130" spans="1:9" x14ac:dyDescent="0.3">
      <c r="A130" t="s">
        <v>42</v>
      </c>
      <c r="B130">
        <v>3</v>
      </c>
      <c r="C130">
        <v>1</v>
      </c>
      <c r="D130">
        <v>0.63200000000000001</v>
      </c>
      <c r="E130">
        <v>1.0620000000000001</v>
      </c>
      <c r="F130">
        <v>0.55100000000000005</v>
      </c>
      <c r="G130">
        <v>1</v>
      </c>
      <c r="H130" t="s">
        <v>24</v>
      </c>
      <c r="I130" t="s">
        <v>11</v>
      </c>
    </row>
    <row r="131" spans="1:9" x14ac:dyDescent="0.3">
      <c r="A131" t="s">
        <v>42</v>
      </c>
      <c r="B131">
        <v>4</v>
      </c>
      <c r="C131">
        <v>5</v>
      </c>
      <c r="D131">
        <v>0.44</v>
      </c>
      <c r="E131">
        <v>1.2370000000000001</v>
      </c>
      <c r="F131">
        <v>0.65100000000000002</v>
      </c>
      <c r="G131">
        <v>1</v>
      </c>
      <c r="H131" t="s">
        <v>19</v>
      </c>
      <c r="I131" t="s">
        <v>13</v>
      </c>
    </row>
    <row r="132" spans="1:9" x14ac:dyDescent="0.3">
      <c r="A132" t="s">
        <v>42</v>
      </c>
      <c r="B132">
        <v>5</v>
      </c>
      <c r="C132">
        <v>2</v>
      </c>
      <c r="D132">
        <v>2.2240000000000002</v>
      </c>
      <c r="E132">
        <v>1.101</v>
      </c>
      <c r="F132">
        <v>0.27200000000000002</v>
      </c>
      <c r="G132">
        <v>0</v>
      </c>
      <c r="H132" t="s">
        <v>25</v>
      </c>
      <c r="I132" t="s">
        <v>12</v>
      </c>
    </row>
    <row r="133" spans="1:9" x14ac:dyDescent="0.3">
      <c r="A133" t="s">
        <v>42</v>
      </c>
      <c r="B133">
        <v>6</v>
      </c>
      <c r="C133">
        <v>7</v>
      </c>
      <c r="D133">
        <v>0.23799999999999999</v>
      </c>
      <c r="E133">
        <v>0.749</v>
      </c>
      <c r="F133">
        <v>0.70299999999999996</v>
      </c>
      <c r="G133">
        <v>0</v>
      </c>
      <c r="H133" t="s">
        <v>20</v>
      </c>
      <c r="I133" t="s">
        <v>14</v>
      </c>
    </row>
    <row r="134" spans="1:9" x14ac:dyDescent="0.3">
      <c r="A134" t="s">
        <v>42</v>
      </c>
      <c r="B134">
        <v>7</v>
      </c>
      <c r="C134">
        <v>9</v>
      </c>
      <c r="D134">
        <v>0.23799999999999999</v>
      </c>
      <c r="E134">
        <v>0.93700000000000006</v>
      </c>
      <c r="F134">
        <v>0.625</v>
      </c>
      <c r="G134">
        <v>1</v>
      </c>
      <c r="H134" t="s">
        <v>9</v>
      </c>
      <c r="I134" t="s">
        <v>11</v>
      </c>
    </row>
    <row r="135" spans="1:9" x14ac:dyDescent="0.3">
      <c r="A135" t="s">
        <v>42</v>
      </c>
      <c r="B135">
        <v>8</v>
      </c>
      <c r="C135">
        <v>4</v>
      </c>
      <c r="D135">
        <v>2.504</v>
      </c>
      <c r="E135">
        <v>0.85099999999999998</v>
      </c>
      <c r="F135">
        <v>0.17299999999999999</v>
      </c>
      <c r="G135">
        <v>0</v>
      </c>
      <c r="H135" t="s">
        <v>7</v>
      </c>
      <c r="I135" t="s">
        <v>12</v>
      </c>
    </row>
    <row r="136" spans="1:9" x14ac:dyDescent="0.3">
      <c r="A136" t="s">
        <v>42</v>
      </c>
      <c r="B136">
        <v>9</v>
      </c>
      <c r="C136">
        <v>8</v>
      </c>
      <c r="D136">
        <v>-1.3029999999999999</v>
      </c>
      <c r="E136">
        <v>0.90300000000000002</v>
      </c>
      <c r="F136">
        <v>0.89600000000000002</v>
      </c>
      <c r="G136">
        <v>1</v>
      </c>
      <c r="H136" t="s">
        <v>10</v>
      </c>
      <c r="I136" t="s">
        <v>13</v>
      </c>
    </row>
    <row r="137" spans="1:9" x14ac:dyDescent="0.3">
      <c r="A137" t="s">
        <v>43</v>
      </c>
      <c r="B137">
        <v>1</v>
      </c>
      <c r="C137">
        <v>3</v>
      </c>
      <c r="D137">
        <v>0.81799999999999995</v>
      </c>
      <c r="E137">
        <v>1.048</v>
      </c>
      <c r="F137">
        <v>0.49399999999999999</v>
      </c>
      <c r="G137">
        <v>1</v>
      </c>
      <c r="H137" t="s">
        <v>26</v>
      </c>
      <c r="I137" t="s">
        <v>12</v>
      </c>
    </row>
    <row r="138" spans="1:9" x14ac:dyDescent="0.3">
      <c r="A138" t="s">
        <v>43</v>
      </c>
      <c r="B138">
        <v>2</v>
      </c>
      <c r="C138">
        <v>6</v>
      </c>
      <c r="D138">
        <v>1.3680000000000001</v>
      </c>
      <c r="E138">
        <v>1.3380000000000001</v>
      </c>
      <c r="F138">
        <v>0.42099999999999999</v>
      </c>
      <c r="G138">
        <v>1</v>
      </c>
      <c r="H138" t="s">
        <v>8</v>
      </c>
      <c r="I138" t="s">
        <v>12</v>
      </c>
    </row>
    <row r="139" spans="1:9" x14ac:dyDescent="0.3">
      <c r="A139" t="s">
        <v>43</v>
      </c>
      <c r="B139">
        <v>3</v>
      </c>
      <c r="C139">
        <v>1</v>
      </c>
      <c r="D139">
        <v>0.63200000000000001</v>
      </c>
      <c r="E139">
        <v>1.5029999999999999</v>
      </c>
      <c r="F139">
        <v>0.66900000000000004</v>
      </c>
      <c r="G139">
        <v>1</v>
      </c>
      <c r="H139" t="s">
        <v>24</v>
      </c>
      <c r="I139" t="s">
        <v>11</v>
      </c>
    </row>
    <row r="140" spans="1:9" x14ac:dyDescent="0.3">
      <c r="A140" t="s">
        <v>43</v>
      </c>
      <c r="B140">
        <v>4</v>
      </c>
      <c r="C140">
        <v>2</v>
      </c>
      <c r="D140">
        <v>2.2240000000000002</v>
      </c>
      <c r="E140">
        <v>1.839</v>
      </c>
      <c r="F140">
        <v>0.32700000000000001</v>
      </c>
      <c r="G140">
        <v>1</v>
      </c>
      <c r="H140" t="s">
        <v>25</v>
      </c>
      <c r="I140" t="s">
        <v>12</v>
      </c>
    </row>
    <row r="141" spans="1:9" x14ac:dyDescent="0.3">
      <c r="A141" t="s">
        <v>43</v>
      </c>
      <c r="B141">
        <v>5</v>
      </c>
      <c r="C141">
        <v>4</v>
      </c>
      <c r="D141">
        <v>2.504</v>
      </c>
      <c r="E141">
        <v>2.17</v>
      </c>
      <c r="F141">
        <v>0.34</v>
      </c>
      <c r="G141">
        <v>1</v>
      </c>
      <c r="H141" t="s">
        <v>7</v>
      </c>
      <c r="I141" t="s">
        <v>12</v>
      </c>
    </row>
    <row r="142" spans="1:9" x14ac:dyDescent="0.3">
      <c r="A142" t="s">
        <v>43</v>
      </c>
      <c r="B142">
        <v>6</v>
      </c>
      <c r="C142">
        <v>5</v>
      </c>
      <c r="D142">
        <v>0.44</v>
      </c>
      <c r="E142">
        <v>2.2450000000000001</v>
      </c>
      <c r="F142">
        <v>0.84899999999999998</v>
      </c>
      <c r="G142">
        <v>1</v>
      </c>
      <c r="H142" t="s">
        <v>19</v>
      </c>
      <c r="I142" t="s">
        <v>13</v>
      </c>
    </row>
    <row r="143" spans="1:9" x14ac:dyDescent="0.3">
      <c r="A143" t="s">
        <v>43</v>
      </c>
      <c r="B143">
        <v>7</v>
      </c>
      <c r="C143">
        <v>7</v>
      </c>
      <c r="D143">
        <v>0.23799999999999999</v>
      </c>
      <c r="E143">
        <v>2.3039999999999998</v>
      </c>
      <c r="F143">
        <v>0.88200000000000001</v>
      </c>
      <c r="G143">
        <v>1</v>
      </c>
      <c r="H143" t="s">
        <v>20</v>
      </c>
      <c r="I143" t="s">
        <v>14</v>
      </c>
    </row>
    <row r="144" spans="1:9" x14ac:dyDescent="0.3">
      <c r="A144" t="s">
        <v>43</v>
      </c>
      <c r="B144">
        <v>8</v>
      </c>
      <c r="C144">
        <v>9</v>
      </c>
      <c r="D144">
        <v>0.23799999999999999</v>
      </c>
      <c r="E144">
        <v>2.36</v>
      </c>
      <c r="F144">
        <v>0.88800000000000001</v>
      </c>
      <c r="G144">
        <v>1</v>
      </c>
      <c r="H144" t="s">
        <v>9</v>
      </c>
      <c r="I144" t="s">
        <v>11</v>
      </c>
    </row>
    <row r="145" spans="1:9" x14ac:dyDescent="0.3">
      <c r="A145" t="s">
        <v>43</v>
      </c>
      <c r="B145">
        <v>9</v>
      </c>
      <c r="C145">
        <v>8</v>
      </c>
      <c r="D145">
        <v>-1.3029999999999999</v>
      </c>
      <c r="E145">
        <v>2.3730000000000002</v>
      </c>
      <c r="F145">
        <v>0.97499999999999998</v>
      </c>
      <c r="G145">
        <v>1</v>
      </c>
      <c r="H145" t="s">
        <v>10</v>
      </c>
      <c r="I145" t="s">
        <v>13</v>
      </c>
    </row>
    <row r="146" spans="1:9" x14ac:dyDescent="0.3">
      <c r="A146" t="s">
        <v>44</v>
      </c>
      <c r="B146">
        <v>1</v>
      </c>
      <c r="C146">
        <v>3</v>
      </c>
      <c r="D146">
        <v>0.81799999999999995</v>
      </c>
      <c r="E146">
        <v>0.54800000000000004</v>
      </c>
      <c r="F146">
        <v>0.49399999999999999</v>
      </c>
      <c r="G146">
        <v>0</v>
      </c>
      <c r="H146" t="s">
        <v>26</v>
      </c>
      <c r="I146" t="s">
        <v>12</v>
      </c>
    </row>
    <row r="147" spans="1:9" x14ac:dyDescent="0.3">
      <c r="A147" t="s">
        <v>44</v>
      </c>
      <c r="B147">
        <v>2</v>
      </c>
      <c r="C147">
        <v>1</v>
      </c>
      <c r="D147">
        <v>0.63200000000000001</v>
      </c>
      <c r="E147">
        <v>0.309</v>
      </c>
      <c r="F147">
        <v>0.47899999999999998</v>
      </c>
      <c r="G147">
        <v>0</v>
      </c>
      <c r="H147" t="s">
        <v>24</v>
      </c>
      <c r="I147" t="s">
        <v>11</v>
      </c>
    </row>
    <row r="148" spans="1:9" x14ac:dyDescent="0.3">
      <c r="A148" t="s">
        <v>44</v>
      </c>
      <c r="B148">
        <v>3</v>
      </c>
      <c r="C148">
        <v>7</v>
      </c>
      <c r="D148">
        <v>0.23799999999999999</v>
      </c>
      <c r="E148">
        <v>0.05</v>
      </c>
      <c r="F148">
        <v>0.51800000000000002</v>
      </c>
      <c r="G148">
        <v>0</v>
      </c>
      <c r="H148" t="s">
        <v>20</v>
      </c>
      <c r="I148" t="s">
        <v>14</v>
      </c>
    </row>
    <row r="149" spans="1:9" x14ac:dyDescent="0.3">
      <c r="A149" t="s">
        <v>44</v>
      </c>
      <c r="B149">
        <v>4</v>
      </c>
      <c r="C149">
        <v>9</v>
      </c>
      <c r="D149">
        <v>0.23799999999999999</v>
      </c>
      <c r="E149">
        <v>-0.17699999999999999</v>
      </c>
      <c r="F149">
        <v>0.45300000000000001</v>
      </c>
      <c r="G149">
        <v>0</v>
      </c>
      <c r="H149" t="s">
        <v>9</v>
      </c>
      <c r="I149" t="s">
        <v>11</v>
      </c>
    </row>
    <row r="150" spans="1:9" x14ac:dyDescent="0.3">
      <c r="A150" t="s">
        <v>44</v>
      </c>
      <c r="B150">
        <v>5</v>
      </c>
      <c r="C150">
        <v>5</v>
      </c>
      <c r="D150">
        <v>0.44</v>
      </c>
      <c r="E150">
        <v>0.14799999999999999</v>
      </c>
      <c r="F150">
        <v>0.35</v>
      </c>
      <c r="G150">
        <v>1</v>
      </c>
      <c r="H150" t="s">
        <v>19</v>
      </c>
      <c r="I150" t="s">
        <v>13</v>
      </c>
    </row>
    <row r="151" spans="1:9" x14ac:dyDescent="0.3">
      <c r="A151" t="s">
        <v>44</v>
      </c>
      <c r="B151">
        <v>6</v>
      </c>
      <c r="C151">
        <v>6</v>
      </c>
      <c r="D151">
        <v>1.3680000000000001</v>
      </c>
      <c r="E151">
        <v>3.4000000000000002E-2</v>
      </c>
      <c r="F151">
        <v>0.22800000000000001</v>
      </c>
      <c r="G151">
        <v>0</v>
      </c>
      <c r="H151" t="s">
        <v>8</v>
      </c>
      <c r="I151" t="s">
        <v>12</v>
      </c>
    </row>
    <row r="152" spans="1:9" x14ac:dyDescent="0.3">
      <c r="A152" t="s">
        <v>44</v>
      </c>
      <c r="B152">
        <v>7</v>
      </c>
      <c r="C152">
        <v>8</v>
      </c>
      <c r="D152">
        <v>-1.3029999999999999</v>
      </c>
      <c r="E152">
        <v>0.13800000000000001</v>
      </c>
      <c r="F152">
        <v>0.79200000000000004</v>
      </c>
      <c r="G152">
        <v>1</v>
      </c>
      <c r="H152" t="s">
        <v>10</v>
      </c>
      <c r="I152" t="s">
        <v>13</v>
      </c>
    </row>
    <row r="153" spans="1:9" x14ac:dyDescent="0.3">
      <c r="A153" t="s">
        <v>44</v>
      </c>
      <c r="B153">
        <v>8</v>
      </c>
      <c r="C153">
        <v>2</v>
      </c>
      <c r="D153">
        <v>2.2240000000000002</v>
      </c>
      <c r="E153">
        <v>8.3000000000000004E-2</v>
      </c>
      <c r="F153">
        <v>0.11</v>
      </c>
      <c r="G153">
        <v>0</v>
      </c>
      <c r="H153" t="s">
        <v>25</v>
      </c>
      <c r="I153" t="s">
        <v>12</v>
      </c>
    </row>
    <row r="154" spans="1:9" x14ac:dyDescent="0.3">
      <c r="A154" t="s">
        <v>44</v>
      </c>
      <c r="B154">
        <v>9</v>
      </c>
      <c r="C154">
        <v>4</v>
      </c>
      <c r="D154">
        <v>2.504</v>
      </c>
      <c r="E154">
        <v>4.2000000000000003E-2</v>
      </c>
      <c r="F154">
        <v>8.2000000000000003E-2</v>
      </c>
      <c r="G154">
        <v>0</v>
      </c>
      <c r="H154" t="s">
        <v>7</v>
      </c>
      <c r="I154" t="s">
        <v>12</v>
      </c>
    </row>
    <row r="155" spans="1:9" x14ac:dyDescent="0.3">
      <c r="A155" t="s">
        <v>45</v>
      </c>
      <c r="B155">
        <v>1</v>
      </c>
      <c r="C155">
        <v>3</v>
      </c>
      <c r="D155">
        <v>0.81799999999999995</v>
      </c>
      <c r="E155">
        <v>1.048</v>
      </c>
      <c r="F155">
        <v>0.49399999999999999</v>
      </c>
      <c r="G155">
        <v>1</v>
      </c>
      <c r="H155" t="s">
        <v>26</v>
      </c>
      <c r="I155" t="s">
        <v>12</v>
      </c>
    </row>
    <row r="156" spans="1:9" x14ac:dyDescent="0.3">
      <c r="A156" t="s">
        <v>45</v>
      </c>
      <c r="B156">
        <v>2</v>
      </c>
      <c r="C156">
        <v>6</v>
      </c>
      <c r="D156">
        <v>1.3680000000000001</v>
      </c>
      <c r="E156">
        <v>1.3380000000000001</v>
      </c>
      <c r="F156">
        <v>0.42099999999999999</v>
      </c>
      <c r="G156">
        <v>1</v>
      </c>
      <c r="H156" t="s">
        <v>8</v>
      </c>
      <c r="I156" t="s">
        <v>12</v>
      </c>
    </row>
    <row r="157" spans="1:9" x14ac:dyDescent="0.3">
      <c r="A157" t="s">
        <v>45</v>
      </c>
      <c r="B157">
        <v>3</v>
      </c>
      <c r="C157">
        <v>1</v>
      </c>
      <c r="D157">
        <v>0.63200000000000001</v>
      </c>
      <c r="E157">
        <v>1.5029999999999999</v>
      </c>
      <c r="F157">
        <v>0.66900000000000004</v>
      </c>
      <c r="G157">
        <v>1</v>
      </c>
      <c r="H157" t="s">
        <v>24</v>
      </c>
      <c r="I157" t="s">
        <v>11</v>
      </c>
    </row>
    <row r="158" spans="1:9" x14ac:dyDescent="0.3">
      <c r="A158" t="s">
        <v>45</v>
      </c>
      <c r="B158">
        <v>4</v>
      </c>
      <c r="C158">
        <v>2</v>
      </c>
      <c r="D158">
        <v>2.2240000000000002</v>
      </c>
      <c r="E158">
        <v>1.339</v>
      </c>
      <c r="F158">
        <v>0.32700000000000001</v>
      </c>
      <c r="G158">
        <v>0</v>
      </c>
      <c r="H158" t="s">
        <v>25</v>
      </c>
      <c r="I158" t="s">
        <v>12</v>
      </c>
    </row>
    <row r="159" spans="1:9" x14ac:dyDescent="0.3">
      <c r="A159" t="s">
        <v>45</v>
      </c>
      <c r="B159">
        <v>5</v>
      </c>
      <c r="C159">
        <v>5</v>
      </c>
      <c r="D159">
        <v>0.44</v>
      </c>
      <c r="E159">
        <v>1.484</v>
      </c>
      <c r="F159">
        <v>0.71099999999999997</v>
      </c>
      <c r="G159">
        <v>1</v>
      </c>
      <c r="H159" t="s">
        <v>19</v>
      </c>
      <c r="I159" t="s">
        <v>13</v>
      </c>
    </row>
    <row r="160" spans="1:9" x14ac:dyDescent="0.3">
      <c r="A160" t="s">
        <v>45</v>
      </c>
      <c r="B160">
        <v>6</v>
      </c>
      <c r="C160">
        <v>4</v>
      </c>
      <c r="D160">
        <v>2.504</v>
      </c>
      <c r="E160">
        <v>1.3520000000000001</v>
      </c>
      <c r="F160">
        <v>0.26500000000000001</v>
      </c>
      <c r="G160">
        <v>0</v>
      </c>
      <c r="H160" t="s">
        <v>7</v>
      </c>
      <c r="I160" t="s">
        <v>12</v>
      </c>
    </row>
    <row r="161" spans="1:9" x14ac:dyDescent="0.3">
      <c r="A161" t="s">
        <v>45</v>
      </c>
      <c r="B161">
        <v>7</v>
      </c>
      <c r="C161">
        <v>7</v>
      </c>
      <c r="D161">
        <v>0.23799999999999999</v>
      </c>
      <c r="E161">
        <v>1.4750000000000001</v>
      </c>
      <c r="F161">
        <v>0.753</v>
      </c>
      <c r="G161">
        <v>1</v>
      </c>
      <c r="H161" t="s">
        <v>20</v>
      </c>
      <c r="I161" t="s">
        <v>14</v>
      </c>
    </row>
    <row r="162" spans="1:9" x14ac:dyDescent="0.3">
      <c r="A162" t="s">
        <v>45</v>
      </c>
      <c r="B162">
        <v>8</v>
      </c>
      <c r="C162">
        <v>9</v>
      </c>
      <c r="D162">
        <v>0.23799999999999999</v>
      </c>
      <c r="E162">
        <v>1.0880000000000001</v>
      </c>
      <c r="F162">
        <v>0.77500000000000002</v>
      </c>
      <c r="G162">
        <v>0</v>
      </c>
      <c r="H162" t="s">
        <v>9</v>
      </c>
      <c r="I162" t="s">
        <v>11</v>
      </c>
    </row>
    <row r="163" spans="1:9" x14ac:dyDescent="0.3">
      <c r="A163" t="s">
        <v>45</v>
      </c>
      <c r="B163">
        <v>9</v>
      </c>
      <c r="C163">
        <v>8</v>
      </c>
      <c r="D163">
        <v>-1.3029999999999999</v>
      </c>
      <c r="E163">
        <v>1.1299999999999999</v>
      </c>
      <c r="F163">
        <v>0.91600000000000004</v>
      </c>
      <c r="G163">
        <v>1</v>
      </c>
      <c r="H163" t="s">
        <v>10</v>
      </c>
      <c r="I163" t="s">
        <v>13</v>
      </c>
    </row>
    <row r="164" spans="1:9" x14ac:dyDescent="0.3">
      <c r="A164" t="s">
        <v>46</v>
      </c>
      <c r="B164">
        <v>1</v>
      </c>
      <c r="C164">
        <v>3</v>
      </c>
      <c r="D164">
        <v>0.81799999999999995</v>
      </c>
      <c r="E164">
        <v>1.048</v>
      </c>
      <c r="F164">
        <v>0.49399999999999999</v>
      </c>
      <c r="G164">
        <v>1</v>
      </c>
      <c r="H164" t="s">
        <v>26</v>
      </c>
      <c r="I164" t="s">
        <v>12</v>
      </c>
    </row>
    <row r="165" spans="1:9" x14ac:dyDescent="0.3">
      <c r="A165" t="s">
        <v>46</v>
      </c>
      <c r="B165">
        <v>2</v>
      </c>
      <c r="C165">
        <v>6</v>
      </c>
      <c r="D165">
        <v>1.3680000000000001</v>
      </c>
      <c r="E165">
        <v>1.3380000000000001</v>
      </c>
      <c r="F165">
        <v>0.42099999999999999</v>
      </c>
      <c r="G165">
        <v>1</v>
      </c>
      <c r="H165" t="s">
        <v>8</v>
      </c>
      <c r="I165" t="s">
        <v>12</v>
      </c>
    </row>
    <row r="166" spans="1:9" x14ac:dyDescent="0.3">
      <c r="A166" t="s">
        <v>46</v>
      </c>
      <c r="B166">
        <v>3</v>
      </c>
      <c r="C166">
        <v>1</v>
      </c>
      <c r="D166">
        <v>0.63200000000000001</v>
      </c>
      <c r="E166">
        <v>1.5029999999999999</v>
      </c>
      <c r="F166">
        <v>0.66900000000000004</v>
      </c>
      <c r="G166">
        <v>1</v>
      </c>
      <c r="H166" t="s">
        <v>24</v>
      </c>
      <c r="I166" t="s">
        <v>11</v>
      </c>
    </row>
    <row r="167" spans="1:9" x14ac:dyDescent="0.3">
      <c r="A167" t="s">
        <v>46</v>
      </c>
      <c r="B167">
        <v>4</v>
      </c>
      <c r="C167">
        <v>2</v>
      </c>
      <c r="D167">
        <v>2.2240000000000002</v>
      </c>
      <c r="E167">
        <v>1.339</v>
      </c>
      <c r="F167">
        <v>0.32700000000000001</v>
      </c>
      <c r="G167">
        <v>0</v>
      </c>
      <c r="H167" t="s">
        <v>25</v>
      </c>
      <c r="I167" t="s">
        <v>12</v>
      </c>
    </row>
    <row r="168" spans="1:9" x14ac:dyDescent="0.3">
      <c r="A168" t="s">
        <v>46</v>
      </c>
      <c r="B168">
        <v>5</v>
      </c>
      <c r="C168">
        <v>5</v>
      </c>
      <c r="D168">
        <v>0.44</v>
      </c>
      <c r="E168">
        <v>1.484</v>
      </c>
      <c r="F168">
        <v>0.71099999999999997</v>
      </c>
      <c r="G168">
        <v>1</v>
      </c>
      <c r="H168" t="s">
        <v>19</v>
      </c>
      <c r="I168" t="s">
        <v>13</v>
      </c>
    </row>
    <row r="169" spans="1:9" x14ac:dyDescent="0.3">
      <c r="A169" t="s">
        <v>46</v>
      </c>
      <c r="B169">
        <v>6</v>
      </c>
      <c r="C169">
        <v>4</v>
      </c>
      <c r="D169">
        <v>2.504</v>
      </c>
      <c r="E169">
        <v>1.3520000000000001</v>
      </c>
      <c r="F169">
        <v>0.26500000000000001</v>
      </c>
      <c r="G169">
        <v>0</v>
      </c>
      <c r="H169" t="s">
        <v>7</v>
      </c>
      <c r="I169" t="s">
        <v>12</v>
      </c>
    </row>
    <row r="170" spans="1:9" x14ac:dyDescent="0.3">
      <c r="A170" t="s">
        <v>46</v>
      </c>
      <c r="B170">
        <v>7</v>
      </c>
      <c r="C170">
        <v>7</v>
      </c>
      <c r="D170">
        <v>0.23799999999999999</v>
      </c>
      <c r="E170">
        <v>0.97499999999999998</v>
      </c>
      <c r="F170">
        <v>0.753</v>
      </c>
      <c r="G170">
        <v>0</v>
      </c>
      <c r="H170" t="s">
        <v>20</v>
      </c>
      <c r="I170" t="s">
        <v>14</v>
      </c>
    </row>
    <row r="171" spans="1:9" x14ac:dyDescent="0.3">
      <c r="A171" t="s">
        <v>46</v>
      </c>
      <c r="B171">
        <v>8</v>
      </c>
      <c r="C171">
        <v>9</v>
      </c>
      <c r="D171">
        <v>0.23799999999999999</v>
      </c>
      <c r="E171">
        <v>1.137</v>
      </c>
      <c r="F171">
        <v>0.67600000000000005</v>
      </c>
      <c r="G171">
        <v>1</v>
      </c>
      <c r="H171" t="s">
        <v>9</v>
      </c>
      <c r="I171" t="s">
        <v>11</v>
      </c>
    </row>
    <row r="172" spans="1:9" x14ac:dyDescent="0.3">
      <c r="A172" t="s">
        <v>46</v>
      </c>
      <c r="B172">
        <v>9</v>
      </c>
      <c r="C172">
        <v>8</v>
      </c>
      <c r="D172">
        <v>-1.3029999999999999</v>
      </c>
      <c r="E172">
        <v>1.177</v>
      </c>
      <c r="F172">
        <v>0.92</v>
      </c>
      <c r="G172">
        <v>1</v>
      </c>
      <c r="H172" t="s">
        <v>10</v>
      </c>
      <c r="I172" t="s">
        <v>13</v>
      </c>
    </row>
    <row r="173" spans="1:9" x14ac:dyDescent="0.3">
      <c r="A173" t="s">
        <v>47</v>
      </c>
      <c r="B173">
        <v>1</v>
      </c>
      <c r="C173">
        <v>3</v>
      </c>
      <c r="D173">
        <v>0.81799999999999995</v>
      </c>
      <c r="E173">
        <v>1.048</v>
      </c>
      <c r="F173">
        <v>0.49399999999999999</v>
      </c>
      <c r="G173">
        <v>1</v>
      </c>
      <c r="H173" t="s">
        <v>26</v>
      </c>
      <c r="I173" t="s">
        <v>12</v>
      </c>
    </row>
    <row r="174" spans="1:9" x14ac:dyDescent="0.3">
      <c r="A174" t="s">
        <v>47</v>
      </c>
      <c r="B174">
        <v>2</v>
      </c>
      <c r="C174">
        <v>6</v>
      </c>
      <c r="D174">
        <v>1.3680000000000001</v>
      </c>
      <c r="E174">
        <v>1.3380000000000001</v>
      </c>
      <c r="F174">
        <v>0.42099999999999999</v>
      </c>
      <c r="G174">
        <v>1</v>
      </c>
      <c r="H174" t="s">
        <v>8</v>
      </c>
      <c r="I174" t="s">
        <v>12</v>
      </c>
    </row>
    <row r="175" spans="1:9" x14ac:dyDescent="0.3">
      <c r="A175" t="s">
        <v>47</v>
      </c>
      <c r="B175">
        <v>3</v>
      </c>
      <c r="C175">
        <v>1</v>
      </c>
      <c r="D175">
        <v>0.63200000000000001</v>
      </c>
      <c r="E175">
        <v>1.5029999999999999</v>
      </c>
      <c r="F175">
        <v>0.66900000000000004</v>
      </c>
      <c r="G175">
        <v>1</v>
      </c>
      <c r="H175" t="s">
        <v>24</v>
      </c>
      <c r="I175" t="s">
        <v>11</v>
      </c>
    </row>
    <row r="176" spans="1:9" x14ac:dyDescent="0.3">
      <c r="A176" t="s">
        <v>47</v>
      </c>
      <c r="B176">
        <v>4</v>
      </c>
      <c r="C176">
        <v>2</v>
      </c>
      <c r="D176">
        <v>2.2240000000000002</v>
      </c>
      <c r="E176">
        <v>1.839</v>
      </c>
      <c r="F176">
        <v>0.32700000000000001</v>
      </c>
      <c r="G176">
        <v>1</v>
      </c>
      <c r="H176" t="s">
        <v>25</v>
      </c>
      <c r="I176" t="s">
        <v>12</v>
      </c>
    </row>
    <row r="177" spans="1:9" x14ac:dyDescent="0.3">
      <c r="A177" t="s">
        <v>47</v>
      </c>
      <c r="B177">
        <v>5</v>
      </c>
      <c r="C177">
        <v>4</v>
      </c>
      <c r="D177">
        <v>2.504</v>
      </c>
      <c r="E177">
        <v>1.67</v>
      </c>
      <c r="F177">
        <v>0.34</v>
      </c>
      <c r="G177">
        <v>0</v>
      </c>
      <c r="H177" t="s">
        <v>7</v>
      </c>
      <c r="I177" t="s">
        <v>12</v>
      </c>
    </row>
    <row r="178" spans="1:9" x14ac:dyDescent="0.3">
      <c r="A178" t="s">
        <v>47</v>
      </c>
      <c r="B178">
        <v>6</v>
      </c>
      <c r="C178">
        <v>5</v>
      </c>
      <c r="D178">
        <v>0.44</v>
      </c>
      <c r="E178">
        <v>1.7829999999999999</v>
      </c>
      <c r="F178">
        <v>0.77400000000000002</v>
      </c>
      <c r="G178">
        <v>1</v>
      </c>
      <c r="H178" t="s">
        <v>19</v>
      </c>
      <c r="I178" t="s">
        <v>13</v>
      </c>
    </row>
    <row r="179" spans="1:9" x14ac:dyDescent="0.3">
      <c r="A179" t="s">
        <v>47</v>
      </c>
      <c r="B179">
        <v>7</v>
      </c>
      <c r="C179">
        <v>7</v>
      </c>
      <c r="D179">
        <v>0.23799999999999999</v>
      </c>
      <c r="E179">
        <v>1.871</v>
      </c>
      <c r="F179">
        <v>0.82399999999999995</v>
      </c>
      <c r="G179">
        <v>1</v>
      </c>
      <c r="H179" t="s">
        <v>20</v>
      </c>
      <c r="I179" t="s">
        <v>14</v>
      </c>
    </row>
    <row r="180" spans="1:9" x14ac:dyDescent="0.3">
      <c r="A180" t="s">
        <v>47</v>
      </c>
      <c r="B180">
        <v>8</v>
      </c>
      <c r="C180">
        <v>9</v>
      </c>
      <c r="D180">
        <v>0.23799999999999999</v>
      </c>
      <c r="E180">
        <v>1.952</v>
      </c>
      <c r="F180">
        <v>0.83699999999999997</v>
      </c>
      <c r="G180">
        <v>1</v>
      </c>
      <c r="H180" t="s">
        <v>9</v>
      </c>
      <c r="I180" t="s">
        <v>11</v>
      </c>
    </row>
    <row r="181" spans="1:9" x14ac:dyDescent="0.3">
      <c r="A181" t="s">
        <v>47</v>
      </c>
      <c r="B181">
        <v>9</v>
      </c>
      <c r="C181">
        <v>8</v>
      </c>
      <c r="D181">
        <v>-1.3029999999999999</v>
      </c>
      <c r="E181">
        <v>1.9710000000000001</v>
      </c>
      <c r="F181">
        <v>0.96299999999999997</v>
      </c>
      <c r="G181">
        <v>1</v>
      </c>
      <c r="H181" t="s">
        <v>10</v>
      </c>
      <c r="I181" t="s">
        <v>13</v>
      </c>
    </row>
    <row r="182" spans="1:9" x14ac:dyDescent="0.3">
      <c r="A182" t="s">
        <v>52</v>
      </c>
      <c r="B182">
        <v>1</v>
      </c>
      <c r="C182">
        <v>3</v>
      </c>
      <c r="D182">
        <v>0.81799999999999995</v>
      </c>
      <c r="E182">
        <v>0.54800000000000004</v>
      </c>
      <c r="F182">
        <v>0.49399999999999999</v>
      </c>
      <c r="G182">
        <v>0</v>
      </c>
      <c r="H182" t="s">
        <v>26</v>
      </c>
      <c r="I182" t="s">
        <v>12</v>
      </c>
    </row>
    <row r="183" spans="1:9" x14ac:dyDescent="0.3">
      <c r="A183" t="s">
        <v>52</v>
      </c>
      <c r="B183">
        <v>2</v>
      </c>
      <c r="C183">
        <v>1</v>
      </c>
      <c r="D183">
        <v>0.63200000000000001</v>
      </c>
      <c r="E183">
        <v>0.80900000000000005</v>
      </c>
      <c r="F183">
        <v>0.47899999999999998</v>
      </c>
      <c r="G183">
        <v>1</v>
      </c>
      <c r="H183" t="s">
        <v>24</v>
      </c>
      <c r="I183" t="s">
        <v>11</v>
      </c>
    </row>
    <row r="184" spans="1:9" x14ac:dyDescent="0.3">
      <c r="A184" t="s">
        <v>52</v>
      </c>
      <c r="B184">
        <v>3</v>
      </c>
      <c r="C184">
        <v>5</v>
      </c>
      <c r="D184">
        <v>0.44</v>
      </c>
      <c r="E184">
        <v>1.0129999999999999</v>
      </c>
      <c r="F184">
        <v>0.59099999999999997</v>
      </c>
      <c r="G184">
        <v>1</v>
      </c>
      <c r="H184" t="s">
        <v>19</v>
      </c>
      <c r="I184" t="s">
        <v>13</v>
      </c>
    </row>
    <row r="185" spans="1:9" x14ac:dyDescent="0.3">
      <c r="A185" t="s">
        <v>52</v>
      </c>
      <c r="B185">
        <v>4</v>
      </c>
      <c r="C185">
        <v>6</v>
      </c>
      <c r="D185">
        <v>1.3680000000000001</v>
      </c>
      <c r="E185">
        <v>1.3069999999999999</v>
      </c>
      <c r="F185">
        <v>0.41199999999999998</v>
      </c>
      <c r="G185">
        <v>1</v>
      </c>
      <c r="H185" t="s">
        <v>8</v>
      </c>
      <c r="I185" t="s">
        <v>12</v>
      </c>
    </row>
    <row r="186" spans="1:9" x14ac:dyDescent="0.3">
      <c r="A186" t="s">
        <v>52</v>
      </c>
      <c r="B186">
        <v>5</v>
      </c>
      <c r="C186">
        <v>2</v>
      </c>
      <c r="D186">
        <v>2.2240000000000002</v>
      </c>
      <c r="E186">
        <v>1.1639999999999999</v>
      </c>
      <c r="F186">
        <v>0.28599999999999998</v>
      </c>
      <c r="G186">
        <v>0</v>
      </c>
      <c r="H186" t="s">
        <v>25</v>
      </c>
      <c r="I186" t="s">
        <v>12</v>
      </c>
    </row>
    <row r="187" spans="1:9" x14ac:dyDescent="0.3">
      <c r="A187" t="s">
        <v>52</v>
      </c>
      <c r="B187">
        <v>6</v>
      </c>
      <c r="C187">
        <v>7</v>
      </c>
      <c r="D187">
        <v>0.23799999999999999</v>
      </c>
      <c r="E187">
        <v>1.306</v>
      </c>
      <c r="F187">
        <v>0.71599999999999997</v>
      </c>
      <c r="G187">
        <v>1</v>
      </c>
      <c r="H187" t="s">
        <v>20</v>
      </c>
      <c r="I187" t="s">
        <v>14</v>
      </c>
    </row>
    <row r="188" spans="1:9" x14ac:dyDescent="0.3">
      <c r="A188" t="s">
        <v>52</v>
      </c>
      <c r="B188">
        <v>7</v>
      </c>
      <c r="C188">
        <v>9</v>
      </c>
      <c r="D188">
        <v>0.23799999999999999</v>
      </c>
      <c r="E188">
        <v>1.4339999999999999</v>
      </c>
      <c r="F188">
        <v>0.74399999999999999</v>
      </c>
      <c r="G188">
        <v>1</v>
      </c>
      <c r="H188" t="s">
        <v>9</v>
      </c>
      <c r="I188" t="s">
        <v>11</v>
      </c>
    </row>
    <row r="189" spans="1:9" x14ac:dyDescent="0.3">
      <c r="A189" t="s">
        <v>52</v>
      </c>
      <c r="B189">
        <v>8</v>
      </c>
      <c r="C189">
        <v>4</v>
      </c>
      <c r="D189">
        <v>2.504</v>
      </c>
      <c r="E189">
        <v>1.306</v>
      </c>
      <c r="F189">
        <v>0.255</v>
      </c>
      <c r="G189">
        <v>0</v>
      </c>
      <c r="H189" t="s">
        <v>7</v>
      </c>
      <c r="I189" t="s">
        <v>12</v>
      </c>
    </row>
    <row r="190" spans="1:9" x14ac:dyDescent="0.3">
      <c r="A190" t="s">
        <v>52</v>
      </c>
      <c r="B190">
        <v>9</v>
      </c>
      <c r="C190">
        <v>8</v>
      </c>
      <c r="D190">
        <v>-1.3029999999999999</v>
      </c>
      <c r="E190">
        <v>1.341</v>
      </c>
      <c r="F190">
        <v>0.93100000000000005</v>
      </c>
      <c r="G190">
        <v>1</v>
      </c>
      <c r="H190" t="s">
        <v>10</v>
      </c>
      <c r="I190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16"/>
  <sheetViews>
    <sheetView workbookViewId="0">
      <selection activeCell="B10" sqref="B10"/>
    </sheetView>
  </sheetViews>
  <sheetFormatPr defaultRowHeight="14.4" x14ac:dyDescent="0.3"/>
  <cols>
    <col min="1" max="1" width="8.109375" customWidth="1"/>
    <col min="3" max="3" width="49.21875" customWidth="1"/>
    <col min="4" max="5" width="21.88671875" customWidth="1"/>
  </cols>
  <sheetData>
    <row r="1" spans="1:4" x14ac:dyDescent="0.3">
      <c r="A1" s="11" t="s">
        <v>4</v>
      </c>
      <c r="B1" s="12" t="s">
        <v>2</v>
      </c>
      <c r="C1" s="13" t="s">
        <v>5</v>
      </c>
      <c r="D1" s="14" t="s">
        <v>6</v>
      </c>
    </row>
    <row r="2" spans="1:4" x14ac:dyDescent="0.3">
      <c r="A2" s="1">
        <v>1</v>
      </c>
      <c r="B2" s="6">
        <f>'Расширенная матрица'!A26</f>
        <v>0.63227521987468249</v>
      </c>
      <c r="C2" s="9" t="s">
        <v>24</v>
      </c>
      <c r="D2" s="2" t="s">
        <v>11</v>
      </c>
    </row>
    <row r="3" spans="1:4" x14ac:dyDescent="0.3">
      <c r="A3" s="1">
        <v>2</v>
      </c>
      <c r="B3" s="5">
        <f>'Расширенная матрица'!B26</f>
        <v>2.2237754316221157</v>
      </c>
      <c r="C3" s="2" t="s">
        <v>25</v>
      </c>
      <c r="D3" s="2" t="s">
        <v>12</v>
      </c>
    </row>
    <row r="4" spans="1:4" x14ac:dyDescent="0.3">
      <c r="A4" s="1">
        <v>3</v>
      </c>
      <c r="B4" s="6">
        <f>'Расширенная матрица'!C26</f>
        <v>0.81767844320604555</v>
      </c>
      <c r="C4" s="10" t="s">
        <v>26</v>
      </c>
      <c r="D4" s="2" t="s">
        <v>12</v>
      </c>
    </row>
    <row r="5" spans="1:4" x14ac:dyDescent="0.3">
      <c r="A5" s="1">
        <v>4</v>
      </c>
      <c r="B5" s="5">
        <f>'Расширенная матрица'!D26</f>
        <v>2.5040773967762737</v>
      </c>
      <c r="C5" s="2" t="s">
        <v>7</v>
      </c>
      <c r="D5" s="2" t="s">
        <v>12</v>
      </c>
    </row>
    <row r="6" spans="1:4" x14ac:dyDescent="0.3">
      <c r="A6" s="1">
        <v>5</v>
      </c>
      <c r="B6" s="6">
        <f>'Расширенная матрица'!E26</f>
        <v>0.44038421206457734</v>
      </c>
      <c r="C6" s="2" t="s">
        <v>19</v>
      </c>
      <c r="D6" s="2" t="s">
        <v>13</v>
      </c>
    </row>
    <row r="7" spans="1:4" x14ac:dyDescent="0.3">
      <c r="A7" s="1">
        <v>6</v>
      </c>
      <c r="B7" s="6">
        <f>'Расширенная матрица'!F26</f>
        <v>1.3677247801253172</v>
      </c>
      <c r="C7" s="2" t="s">
        <v>8</v>
      </c>
      <c r="D7" s="2" t="s">
        <v>12</v>
      </c>
    </row>
    <row r="8" spans="1:4" x14ac:dyDescent="0.3">
      <c r="A8" s="1">
        <v>7</v>
      </c>
      <c r="B8" s="6">
        <f>'Расширенная матрица'!G26</f>
        <v>0.2378599479531035</v>
      </c>
      <c r="C8" s="2" t="s">
        <v>20</v>
      </c>
      <c r="D8" s="2" t="s">
        <v>14</v>
      </c>
    </row>
    <row r="9" spans="1:4" x14ac:dyDescent="0.3">
      <c r="A9" s="1">
        <v>8</v>
      </c>
      <c r="B9" s="7">
        <f>'Расширенная матрица'!H26</f>
        <v>-1.3025850929940455</v>
      </c>
      <c r="C9" s="2" t="s">
        <v>10</v>
      </c>
      <c r="D9" s="1" t="s">
        <v>13</v>
      </c>
    </row>
    <row r="10" spans="1:4" x14ac:dyDescent="0.3">
      <c r="A10" s="4">
        <v>9</v>
      </c>
      <c r="B10" s="8">
        <f>'Расширенная матрица'!I26</f>
        <v>0.2378599479531035</v>
      </c>
      <c r="C10" s="3" t="s">
        <v>9</v>
      </c>
      <c r="D10" s="3" t="s">
        <v>11</v>
      </c>
    </row>
    <row r="14" spans="1:4" x14ac:dyDescent="0.3">
      <c r="B14" s="7"/>
      <c r="C14" t="s">
        <v>23</v>
      </c>
    </row>
    <row r="15" spans="1:4" x14ac:dyDescent="0.3">
      <c r="B15" s="6"/>
      <c r="C15" t="s">
        <v>22</v>
      </c>
    </row>
    <row r="16" spans="1:4" x14ac:dyDescent="0.3">
      <c r="B16" s="5"/>
      <c r="C16" t="s">
        <v>21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J21"/>
  <sheetViews>
    <sheetView workbookViewId="0">
      <selection activeCell="O25" sqref="O25"/>
    </sheetView>
  </sheetViews>
  <sheetFormatPr defaultRowHeight="14.4" x14ac:dyDescent="0.3"/>
  <cols>
    <col min="1" max="1" width="15.5546875" customWidth="1"/>
    <col min="2" max="2" width="4.109375" customWidth="1"/>
    <col min="3" max="3" width="3.44140625" customWidth="1"/>
    <col min="4" max="4" width="3.77734375" customWidth="1"/>
    <col min="5" max="5" width="3.33203125" customWidth="1"/>
    <col min="6" max="6" width="4.109375" customWidth="1"/>
    <col min="7" max="7" width="3.88671875" customWidth="1"/>
    <col min="8" max="8" width="4.5546875" customWidth="1"/>
    <col min="9" max="9" width="3.88671875" customWidth="1"/>
    <col min="10" max="10" width="4.109375" customWidth="1"/>
  </cols>
  <sheetData>
    <row r="1" spans="1:10" ht="15" thickBot="1" x14ac:dyDescent="0.35">
      <c r="A1" s="17" t="s">
        <v>50</v>
      </c>
      <c r="B1" s="20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  <c r="J1" s="22">
        <v>9</v>
      </c>
    </row>
    <row r="2" spans="1:10" x14ac:dyDescent="0.3">
      <c r="A2" s="18">
        <v>1</v>
      </c>
      <c r="B2" s="23">
        <v>0</v>
      </c>
      <c r="C2" s="24" t="s">
        <v>51</v>
      </c>
      <c r="D2" s="24" t="s">
        <v>51</v>
      </c>
      <c r="E2" s="24" t="s">
        <v>51</v>
      </c>
      <c r="F2" s="24">
        <v>0</v>
      </c>
      <c r="G2" s="24" t="s">
        <v>51</v>
      </c>
      <c r="H2" s="24">
        <v>0</v>
      </c>
      <c r="I2" s="24">
        <v>0</v>
      </c>
      <c r="J2" s="25">
        <v>1</v>
      </c>
    </row>
    <row r="3" spans="1:10" x14ac:dyDescent="0.3">
      <c r="A3" s="18">
        <v>2</v>
      </c>
      <c r="B3" s="23">
        <v>0</v>
      </c>
      <c r="C3" s="24" t="s">
        <v>51</v>
      </c>
      <c r="D3" s="24" t="s">
        <v>51</v>
      </c>
      <c r="E3" s="24" t="s">
        <v>51</v>
      </c>
      <c r="F3" s="24">
        <v>0</v>
      </c>
      <c r="G3" s="24" t="s">
        <v>51</v>
      </c>
      <c r="H3" s="24">
        <v>0</v>
      </c>
      <c r="I3" s="24">
        <v>0</v>
      </c>
      <c r="J3" s="25">
        <v>0</v>
      </c>
    </row>
    <row r="4" spans="1:10" x14ac:dyDescent="0.3">
      <c r="A4" s="18">
        <v>3</v>
      </c>
      <c r="B4" s="23">
        <v>0</v>
      </c>
      <c r="C4" s="24" t="s">
        <v>51</v>
      </c>
      <c r="D4" s="24" t="s">
        <v>51</v>
      </c>
      <c r="E4" s="24" t="s">
        <v>51</v>
      </c>
      <c r="F4" s="24">
        <v>1</v>
      </c>
      <c r="G4" s="24" t="s">
        <v>51</v>
      </c>
      <c r="H4" s="24">
        <v>0</v>
      </c>
      <c r="I4" s="24">
        <v>1</v>
      </c>
      <c r="J4" s="25">
        <v>0</v>
      </c>
    </row>
    <row r="5" spans="1:10" x14ac:dyDescent="0.3">
      <c r="A5" s="18">
        <v>4</v>
      </c>
      <c r="B5" s="23">
        <v>0</v>
      </c>
      <c r="C5" s="24" t="s">
        <v>51</v>
      </c>
      <c r="D5" s="24" t="s">
        <v>51</v>
      </c>
      <c r="E5" s="24" t="s">
        <v>51</v>
      </c>
      <c r="F5" s="24">
        <v>1</v>
      </c>
      <c r="G5" s="24" t="s">
        <v>51</v>
      </c>
      <c r="H5" s="24">
        <v>0</v>
      </c>
      <c r="I5" s="24">
        <v>1</v>
      </c>
      <c r="J5" s="25">
        <v>0</v>
      </c>
    </row>
    <row r="6" spans="1:10" x14ac:dyDescent="0.3">
      <c r="A6" s="18">
        <v>5</v>
      </c>
      <c r="B6" s="23">
        <v>0</v>
      </c>
      <c r="C6" s="24" t="s">
        <v>51</v>
      </c>
      <c r="D6" s="24" t="s">
        <v>51</v>
      </c>
      <c r="E6" s="24" t="s">
        <v>51</v>
      </c>
      <c r="F6" s="24">
        <v>0</v>
      </c>
      <c r="G6" s="24" t="s">
        <v>51</v>
      </c>
      <c r="H6" s="24">
        <v>0</v>
      </c>
      <c r="I6" s="24">
        <v>1</v>
      </c>
      <c r="J6" s="25">
        <v>0</v>
      </c>
    </row>
    <row r="7" spans="1:10" x14ac:dyDescent="0.3">
      <c r="A7" s="18">
        <v>6</v>
      </c>
      <c r="B7" s="23">
        <v>1</v>
      </c>
      <c r="C7" s="24">
        <v>1</v>
      </c>
      <c r="D7" s="24">
        <v>0</v>
      </c>
      <c r="E7" s="24">
        <v>0</v>
      </c>
      <c r="F7" s="24" t="s">
        <v>51</v>
      </c>
      <c r="G7" s="24">
        <v>1</v>
      </c>
      <c r="H7" s="24" t="s">
        <v>51</v>
      </c>
      <c r="I7" s="24" t="s">
        <v>51</v>
      </c>
      <c r="J7" s="25" t="s">
        <v>51</v>
      </c>
    </row>
    <row r="8" spans="1:10" x14ac:dyDescent="0.3">
      <c r="A8" s="18">
        <v>7</v>
      </c>
      <c r="B8" s="23">
        <v>0</v>
      </c>
      <c r="C8" s="24" t="s">
        <v>51</v>
      </c>
      <c r="D8" s="24" t="s">
        <v>51</v>
      </c>
      <c r="E8" s="24" t="s">
        <v>51</v>
      </c>
      <c r="F8" s="24">
        <v>0</v>
      </c>
      <c r="G8" s="28" t="s">
        <v>51</v>
      </c>
      <c r="H8" s="24">
        <v>0</v>
      </c>
      <c r="I8" s="24">
        <v>1</v>
      </c>
      <c r="J8" s="25">
        <v>0</v>
      </c>
    </row>
    <row r="9" spans="1:10" x14ac:dyDescent="0.3">
      <c r="A9" s="18">
        <v>8</v>
      </c>
      <c r="B9" s="23">
        <v>0</v>
      </c>
      <c r="C9" s="24" t="s">
        <v>51</v>
      </c>
      <c r="D9" s="24" t="s">
        <v>51</v>
      </c>
      <c r="E9" s="24" t="s">
        <v>51</v>
      </c>
      <c r="F9" s="24">
        <v>0</v>
      </c>
      <c r="G9" s="28" t="s">
        <v>51</v>
      </c>
      <c r="H9" s="24">
        <v>0</v>
      </c>
      <c r="I9" s="24">
        <v>0</v>
      </c>
      <c r="J9" s="25">
        <v>0</v>
      </c>
    </row>
    <row r="10" spans="1:10" x14ac:dyDescent="0.3">
      <c r="A10" s="18">
        <v>9</v>
      </c>
      <c r="B10" s="23">
        <v>1</v>
      </c>
      <c r="C10" s="24">
        <v>1</v>
      </c>
      <c r="D10" s="24">
        <v>1</v>
      </c>
      <c r="E10" s="24">
        <v>1</v>
      </c>
      <c r="F10" s="24" t="s">
        <v>51</v>
      </c>
      <c r="G10" s="24">
        <v>1</v>
      </c>
      <c r="H10" s="24" t="s">
        <v>51</v>
      </c>
      <c r="I10" s="24" t="s">
        <v>51</v>
      </c>
      <c r="J10" s="25" t="s">
        <v>51</v>
      </c>
    </row>
    <row r="11" spans="1:10" x14ac:dyDescent="0.3">
      <c r="A11" s="18">
        <v>10</v>
      </c>
      <c r="B11" s="23">
        <v>0</v>
      </c>
      <c r="C11" s="24" t="s">
        <v>51</v>
      </c>
      <c r="D11" s="24" t="s">
        <v>51</v>
      </c>
      <c r="E11" s="24" t="s">
        <v>51</v>
      </c>
      <c r="F11" s="24">
        <v>0</v>
      </c>
      <c r="G11" s="28" t="s">
        <v>51</v>
      </c>
      <c r="H11" s="24">
        <v>0</v>
      </c>
      <c r="I11" s="24">
        <v>1</v>
      </c>
      <c r="J11" s="25">
        <v>0</v>
      </c>
    </row>
    <row r="12" spans="1:10" x14ac:dyDescent="0.3">
      <c r="A12" s="18">
        <v>11</v>
      </c>
      <c r="B12" s="23">
        <v>1</v>
      </c>
      <c r="C12" s="24" t="s">
        <v>51</v>
      </c>
      <c r="D12" s="24">
        <v>0</v>
      </c>
      <c r="E12" s="24" t="s">
        <v>51</v>
      </c>
      <c r="F12" s="24">
        <v>0</v>
      </c>
      <c r="G12" s="28" t="s">
        <v>51</v>
      </c>
      <c r="H12" s="24">
        <v>0</v>
      </c>
      <c r="I12" s="24" t="s">
        <v>51</v>
      </c>
      <c r="J12" s="25">
        <v>1</v>
      </c>
    </row>
    <row r="13" spans="1:10" x14ac:dyDescent="0.3">
      <c r="A13" s="18">
        <v>12</v>
      </c>
      <c r="B13" s="23">
        <v>0</v>
      </c>
      <c r="C13" s="24" t="s">
        <v>51</v>
      </c>
      <c r="D13" s="24" t="s">
        <v>51</v>
      </c>
      <c r="E13" s="24" t="s">
        <v>51</v>
      </c>
      <c r="F13" s="24">
        <v>0</v>
      </c>
      <c r="G13" s="28" t="s">
        <v>51</v>
      </c>
      <c r="H13" s="24">
        <v>0</v>
      </c>
      <c r="I13" s="24">
        <v>0</v>
      </c>
      <c r="J13" s="25">
        <v>0</v>
      </c>
    </row>
    <row r="14" spans="1:10" x14ac:dyDescent="0.3">
      <c r="A14" s="18">
        <v>13</v>
      </c>
      <c r="B14" s="23">
        <v>1</v>
      </c>
      <c r="C14" s="24">
        <v>0</v>
      </c>
      <c r="D14" s="24">
        <v>1</v>
      </c>
      <c r="E14" s="24">
        <v>0</v>
      </c>
      <c r="F14" s="24" t="s">
        <v>51</v>
      </c>
      <c r="G14" s="24">
        <v>1</v>
      </c>
      <c r="H14" s="24" t="s">
        <v>51</v>
      </c>
      <c r="I14" s="24" t="s">
        <v>51</v>
      </c>
      <c r="J14" s="25" t="s">
        <v>51</v>
      </c>
    </row>
    <row r="15" spans="1:10" x14ac:dyDescent="0.3">
      <c r="A15" s="18">
        <v>14</v>
      </c>
      <c r="B15" s="23">
        <v>1</v>
      </c>
      <c r="C15" s="24">
        <v>0</v>
      </c>
      <c r="D15" s="24">
        <v>0</v>
      </c>
      <c r="E15" s="24" t="s">
        <v>51</v>
      </c>
      <c r="F15" s="24">
        <v>1</v>
      </c>
      <c r="G15" s="24">
        <v>1</v>
      </c>
      <c r="H15" s="24" t="s">
        <v>51</v>
      </c>
      <c r="I15" s="28" t="s">
        <v>51</v>
      </c>
      <c r="J15" s="25" t="s">
        <v>51</v>
      </c>
    </row>
    <row r="16" spans="1:10" x14ac:dyDescent="0.3">
      <c r="A16" s="18">
        <v>15</v>
      </c>
      <c r="B16" s="23">
        <v>0</v>
      </c>
      <c r="C16" s="24" t="s">
        <v>51</v>
      </c>
      <c r="D16" s="24" t="s">
        <v>51</v>
      </c>
      <c r="E16" s="24" t="s">
        <v>51</v>
      </c>
      <c r="F16" s="24">
        <v>0</v>
      </c>
      <c r="G16" s="28" t="s">
        <v>51</v>
      </c>
      <c r="H16" s="24">
        <v>0</v>
      </c>
      <c r="I16" s="24">
        <v>0</v>
      </c>
      <c r="J16" s="25">
        <v>0</v>
      </c>
    </row>
    <row r="17" spans="1:10" x14ac:dyDescent="0.3">
      <c r="A17" s="18">
        <v>16</v>
      </c>
      <c r="B17" s="23">
        <v>0</v>
      </c>
      <c r="C17" s="24" t="s">
        <v>51</v>
      </c>
      <c r="D17" s="24" t="s">
        <v>51</v>
      </c>
      <c r="E17" s="24" t="s">
        <v>51</v>
      </c>
      <c r="F17" s="24">
        <v>0</v>
      </c>
      <c r="G17" s="28" t="s">
        <v>51</v>
      </c>
      <c r="H17" s="24">
        <v>1</v>
      </c>
      <c r="I17" s="24">
        <v>1</v>
      </c>
      <c r="J17" s="25">
        <v>0</v>
      </c>
    </row>
    <row r="18" spans="1:10" x14ac:dyDescent="0.3">
      <c r="A18" s="18">
        <v>17</v>
      </c>
      <c r="B18" s="23">
        <v>1</v>
      </c>
      <c r="C18" s="24" t="s">
        <v>51</v>
      </c>
      <c r="D18" s="24" t="s">
        <v>51</v>
      </c>
      <c r="E18" s="24" t="s">
        <v>51</v>
      </c>
      <c r="F18" s="24">
        <v>0</v>
      </c>
      <c r="G18" s="28" t="s">
        <v>51</v>
      </c>
      <c r="H18" s="24">
        <v>0</v>
      </c>
      <c r="I18" s="24">
        <v>0</v>
      </c>
      <c r="J18" s="25">
        <v>1</v>
      </c>
    </row>
    <row r="19" spans="1:10" x14ac:dyDescent="0.3">
      <c r="A19" s="18">
        <v>18</v>
      </c>
      <c r="B19" s="23">
        <v>0</v>
      </c>
      <c r="C19" s="24" t="s">
        <v>51</v>
      </c>
      <c r="D19" s="24">
        <v>0</v>
      </c>
      <c r="E19" s="24" t="s">
        <v>51</v>
      </c>
      <c r="F19" s="24">
        <v>1</v>
      </c>
      <c r="G19" s="28" t="s">
        <v>51</v>
      </c>
      <c r="H19" s="24">
        <v>1</v>
      </c>
      <c r="I19" s="24" t="s">
        <v>51</v>
      </c>
      <c r="J19" s="25">
        <v>0</v>
      </c>
    </row>
    <row r="20" spans="1:10" x14ac:dyDescent="0.3">
      <c r="A20" s="18">
        <v>19</v>
      </c>
      <c r="B20" s="23">
        <v>1</v>
      </c>
      <c r="C20" s="24" t="s">
        <v>51</v>
      </c>
      <c r="D20" s="24">
        <v>1</v>
      </c>
      <c r="E20" s="24" t="s">
        <v>51</v>
      </c>
      <c r="F20" s="24">
        <v>0</v>
      </c>
      <c r="G20" s="24">
        <v>0</v>
      </c>
      <c r="H20" s="24">
        <v>1</v>
      </c>
      <c r="I20" s="24" t="s">
        <v>51</v>
      </c>
      <c r="J20" s="25" t="s">
        <v>51</v>
      </c>
    </row>
    <row r="21" spans="1:10" ht="15" thickBot="1" x14ac:dyDescent="0.35">
      <c r="A21" s="19">
        <v>20</v>
      </c>
      <c r="B21" s="26">
        <v>0</v>
      </c>
      <c r="C21" s="16" t="s">
        <v>51</v>
      </c>
      <c r="D21" s="16" t="s">
        <v>51</v>
      </c>
      <c r="E21" s="16" t="s">
        <v>51</v>
      </c>
      <c r="F21" s="16">
        <v>0</v>
      </c>
      <c r="G21" s="16" t="s">
        <v>51</v>
      </c>
      <c r="H21" s="16">
        <v>0</v>
      </c>
      <c r="I21" s="16">
        <v>0</v>
      </c>
      <c r="J21" s="2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Расширенная матрица</vt:lpstr>
      <vt:lpstr>CAT_simulation</vt:lpstr>
      <vt:lpstr>Bank of Items</vt:lpstr>
      <vt:lpstr>Результат_CAT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karina</dc:creator>
  <cp:lastModifiedBy>karina</cp:lastModifiedBy>
  <dcterms:created xsi:type="dcterms:W3CDTF">2025-04-15T17:35:50Z</dcterms:created>
  <dcterms:modified xsi:type="dcterms:W3CDTF">2025-05-24T14:39:18Z</dcterms:modified>
</cp:coreProperties>
</file>