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ina\Desktop\матстат\"/>
    </mc:Choice>
  </mc:AlternateContent>
  <bookViews>
    <workbookView xWindow="0" yWindow="0" windowWidth="22992" windowHeight="9144" activeTab="1"/>
  </bookViews>
  <sheets>
    <sheet name="Лист4" sheetId="4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1" l="1"/>
  <c r="G47" i="1"/>
  <c r="E58" i="1"/>
  <c r="E56" i="1"/>
  <c r="D53" i="1"/>
  <c r="D54" i="1"/>
  <c r="B59" i="1"/>
  <c r="B60" i="1"/>
  <c r="J53" i="1"/>
  <c r="B58" i="1"/>
  <c r="I43" i="1"/>
  <c r="H38" i="1"/>
  <c r="G49" i="1"/>
  <c r="A57" i="1"/>
  <c r="H37" i="1"/>
  <c r="G48" i="1" l="1"/>
  <c r="J52" i="1" l="1"/>
  <c r="I42" i="1"/>
  <c r="E61" i="1" l="1"/>
  <c r="E60" i="1"/>
  <c r="E59" i="1"/>
  <c r="E54" i="1"/>
  <c r="E53" i="1"/>
  <c r="E52" i="1"/>
  <c r="D55" i="1"/>
  <c r="D56" i="1"/>
  <c r="D52" i="1"/>
  <c r="B62" i="1"/>
  <c r="B61" i="1"/>
  <c r="B57" i="1"/>
  <c r="B56" i="1"/>
  <c r="B55" i="1"/>
  <c r="B54" i="1"/>
  <c r="B53" i="1"/>
  <c r="B52" i="1"/>
  <c r="A56" i="1"/>
  <c r="A55" i="1"/>
  <c r="A54" i="1"/>
  <c r="A53" i="1"/>
  <c r="A52" i="1"/>
  <c r="E55" i="1" l="1"/>
  <c r="E57" i="1" s="1"/>
</calcChain>
</file>

<file path=xl/sharedStrings.xml><?xml version="1.0" encoding="utf-8"?>
<sst xmlns="http://schemas.openxmlformats.org/spreadsheetml/2006/main" count="32" uniqueCount="32">
  <si>
    <t>X1</t>
  </si>
  <si>
    <t>X2</t>
  </si>
  <si>
    <t>Y1</t>
  </si>
  <si>
    <t>Y2</t>
  </si>
  <si>
    <t>Z1</t>
  </si>
  <si>
    <t>Z2</t>
  </si>
  <si>
    <t>Z3</t>
  </si>
  <si>
    <t>Z4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</si>
  <si>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</si>
  <si>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</si>
  <si>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</si>
  <si>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</si>
  <si>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</si>
  <si>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</si>
  <si>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</si>
  <si>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Столбец 1</t>
  </si>
  <si>
    <t>Столбец 2</t>
  </si>
  <si>
    <t>Столбец 3</t>
  </si>
  <si>
    <t>Столбец 4</t>
  </si>
  <si>
    <t>Дисперсионный анализ</t>
  </si>
  <si>
    <t>SS</t>
  </si>
  <si>
    <t>df</t>
  </si>
  <si>
    <t>MS</t>
  </si>
  <si>
    <t>F</t>
  </si>
  <si>
    <t>Между группами</t>
  </si>
  <si>
    <t>Внутри групп</t>
  </si>
  <si>
    <t>Итого</t>
  </si>
  <si>
    <t>P-Знач</t>
  </si>
  <si>
    <t>F крит</t>
  </si>
  <si>
    <t>Источник Вариации</t>
  </si>
  <si>
    <t>Сравнение F-статистики с критическим значением: F=0,1537&lt; Fкрит =2,658 =&gt; не отвергаем  H0;</t>
  </si>
  <si>
    <t>Сравнение p-значения с уровнем значимости: p=0,9272&gt;alpha=0,05=&gt; не отвергаем H0.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</si>
</sst>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404040"/>
      <name val="Courier New"/>
      <family val="3"/>
      <charset val="204"/>
    </font>
    <font>
      <i/>
      <sz val="11"/>
      <color theme="1"/>
      <name val="Calibri"/>
      <family val="2"/>
      <charset val="204"/>
      <scheme val="minor"/>
    </font>
    <font>
      <sz val="8"/>
      <color rgb="FF404040"/>
      <name val="Courier New"/>
      <family val="3"/>
      <charset val="204"/>
    </font>
    <font>
      <sz val="11"/>
      <color rgb="FF40404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3" borderId="0" xfId="0" applyFill="1"/>
    <xf numFmtId="0" fontId="1" fillId="0" borderId="0" xfId="1"/>
    <xf numFmtId="0" fontId="1" fillId="0" borderId="0" xfId="1"/>
    <xf numFmtId="0" fontId="0" fillId="2" borderId="0" xfId="0" applyFill="1"/>
    <xf numFmtId="0" fontId="1" fillId="0" borderId="0" xfId="1"/>
    <xf numFmtId="0" fontId="0" fillId="4" borderId="0" xfId="0" applyFill="1"/>
    <xf numFmtId="0" fontId="0" fillId="7" borderId="0" xfId="0" applyFill="1"/>
    <xf numFmtId="0" fontId="0" fillId="5" borderId="0" xfId="0" applyFill="1"/>
    <xf numFmtId="0" fontId="1" fillId="0" borderId="0" xfId="1"/>
    <xf numFmtId="0" fontId="0" fillId="6" borderId="0" xfId="0" applyFill="1"/>
    <xf numFmtId="0" fontId="1" fillId="0" borderId="0" xfId="1"/>
    <xf numFmtId="0" fontId="1" fillId="8" borderId="0" xfId="1" applyFill="1"/>
    <xf numFmtId="0" fontId="1" fillId="0" borderId="0" xfId="1"/>
    <xf numFmtId="0" fontId="2" fillId="0" borderId="0" xfId="0" applyFont="1"/>
    <xf numFmtId="0" fontId="1" fillId="0" borderId="0" xfId="1" applyFill="1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Fon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99FFCC"/>
      <color rgb="FFFF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4" workbookViewId="0">
      <selection activeCell="A21" sqref="A21"/>
    </sheetView>
  </sheetViews>
  <sheetFormatPr defaultRowHeight="14.4" x14ac:dyDescent="0.3"/>
  <sheetData>
    <row r="1" spans="1:7" x14ac:dyDescent="0.3">
      <c r="A1" t="s">
        <v>8</v>
      </c>
    </row>
    <row r="3" spans="1:7" ht="15" thickBot="1" x14ac:dyDescent="0.35">
      <c r="A3" t="s">
        <v>9</v>
      </c>
    </row>
    <row r="4" spans="1:7" x14ac:dyDescent="0.3">
      <c r="A4" s="19" t="s">
        <v>10</v>
      </c>
      <c r="B4" s="19" t="s">
        <v>11</v>
      </c>
      <c r="C4" s="19" t="s">
        <v>12</v>
      </c>
      <c r="D4" s="19" t="s">
        <v>13</v>
      </c>
      <c r="E4" s="19" t="s">
        <v>14</v>
      </c>
    </row>
    <row r="5" spans="1:7" x14ac:dyDescent="0.3">
      <c r="A5" s="17" t="s">
        <v>15</v>
      </c>
      <c r="B5" s="17">
        <v>46</v>
      </c>
      <c r="C5" s="17">
        <v>1165.1958699158665</v>
      </c>
      <c r="D5" s="17">
        <v>25.330344998171011</v>
      </c>
      <c r="E5" s="17">
        <v>6.288127478587513</v>
      </c>
    </row>
    <row r="6" spans="1:7" x14ac:dyDescent="0.3">
      <c r="A6" s="17" t="s">
        <v>16</v>
      </c>
      <c r="B6" s="17">
        <v>35</v>
      </c>
      <c r="C6" s="17">
        <v>902.36640453804284</v>
      </c>
      <c r="D6" s="17">
        <v>25.781897272515511</v>
      </c>
      <c r="E6" s="17">
        <v>12.136859164822241</v>
      </c>
    </row>
    <row r="7" spans="1:7" x14ac:dyDescent="0.3">
      <c r="A7" s="17" t="s">
        <v>17</v>
      </c>
      <c r="B7" s="17">
        <v>41</v>
      </c>
      <c r="C7" s="17">
        <v>1047.2252305661641</v>
      </c>
      <c r="D7" s="17">
        <v>25.542078794296685</v>
      </c>
      <c r="E7" s="17">
        <v>4.2359312405333265</v>
      </c>
    </row>
    <row r="8" spans="1:7" ht="15" thickBot="1" x14ac:dyDescent="0.35">
      <c r="A8" s="18" t="s">
        <v>18</v>
      </c>
      <c r="B8" s="18">
        <v>50</v>
      </c>
      <c r="C8" s="18">
        <v>1281.584045245836</v>
      </c>
      <c r="D8" s="18">
        <v>25.63168090491672</v>
      </c>
      <c r="E8" s="18">
        <v>15.212275594325732</v>
      </c>
    </row>
    <row r="11" spans="1:7" ht="15" thickBot="1" x14ac:dyDescent="0.35">
      <c r="A11" t="s">
        <v>19</v>
      </c>
    </row>
    <row r="12" spans="1:7" x14ac:dyDescent="0.3">
      <c r="A12" s="19" t="s">
        <v>29</v>
      </c>
      <c r="B12" s="19" t="s">
        <v>20</v>
      </c>
      <c r="C12" s="19" t="s">
        <v>21</v>
      </c>
      <c r="D12" s="19" t="s">
        <v>22</v>
      </c>
      <c r="E12" s="19" t="s">
        <v>23</v>
      </c>
      <c r="F12" s="19" t="s">
        <v>27</v>
      </c>
      <c r="G12" s="19" t="s">
        <v>28</v>
      </c>
    </row>
    <row r="13" spans="1:7" x14ac:dyDescent="0.3">
      <c r="A13" s="17" t="s">
        <v>24</v>
      </c>
      <c r="B13" s="17">
        <v>4.4195094085146138</v>
      </c>
      <c r="C13" s="17">
        <v>3</v>
      </c>
      <c r="D13" s="17">
        <v>1.4731698028382045</v>
      </c>
      <c r="E13" s="17">
        <v>0.15367837763595818</v>
      </c>
      <c r="F13" s="17">
        <v>0.92720636808953505</v>
      </c>
      <c r="G13" s="17">
        <v>2.6583989861483941</v>
      </c>
    </row>
    <row r="14" spans="1:7" x14ac:dyDescent="0.3">
      <c r="A14" s="17" t="s">
        <v>25</v>
      </c>
      <c r="B14" s="17">
        <v>1610.4577018836853</v>
      </c>
      <c r="C14" s="17">
        <v>168</v>
      </c>
      <c r="D14" s="17">
        <v>9.5860577493076509</v>
      </c>
      <c r="E14" s="17"/>
      <c r="F14" s="17"/>
      <c r="G14" s="17"/>
    </row>
    <row r="15" spans="1:7" x14ac:dyDescent="0.3">
      <c r="A15" s="17"/>
      <c r="B15" s="17"/>
      <c r="C15" s="17"/>
      <c r="D15" s="17"/>
      <c r="E15" s="17"/>
      <c r="F15" s="17"/>
      <c r="G15" s="17"/>
    </row>
    <row r="16" spans="1:7" ht="15" thickBot="1" x14ac:dyDescent="0.35">
      <c r="A16" s="18" t="s">
        <v>26</v>
      </c>
      <c r="B16" s="18">
        <v>1614.8772112921999</v>
      </c>
      <c r="C16" s="18">
        <v>171</v>
      </c>
      <c r="D16" s="18"/>
      <c r="E16" s="18"/>
      <c r="F16" s="18"/>
      <c r="G16" s="18"/>
    </row>
    <row r="19" spans="1:1" x14ac:dyDescent="0.3">
      <c r="A19" t="s">
        <v>30</v>
      </c>
    </row>
    <row r="20" spans="1:1" x14ac:dyDescent="0.3">
      <c r="A2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1"/>
  <sheetViews>
    <sheetView tabSelected="1" zoomScale="95" workbookViewId="0">
      <selection activeCell="J58" sqref="J58"/>
    </sheetView>
  </sheetViews>
  <sheetFormatPr defaultRowHeight="14.4" x14ac:dyDescent="0.3"/>
  <cols>
    <col min="11" max="11" width="8.6640625" customWidth="1"/>
  </cols>
  <sheetData>
    <row r="1" spans="1:11" x14ac:dyDescent="0.3">
      <c r="A1" s="2" t="s">
        <v>0</v>
      </c>
      <c r="B1" t="s">
        <v>1</v>
      </c>
      <c r="D1" t="s">
        <v>2</v>
      </c>
      <c r="E1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5"/>
    </row>
    <row r="2" spans="1:11" x14ac:dyDescent="0.3">
      <c r="A2" s="3">
        <v>25.463285232399357</v>
      </c>
      <c r="B2" s="5">
        <v>22.028373854845995</v>
      </c>
      <c r="D2" s="9">
        <v>13.993709469796158</v>
      </c>
      <c r="E2" s="11">
        <v>26.418334250047337</v>
      </c>
      <c r="G2" s="13">
        <v>19.176732798223384</v>
      </c>
      <c r="H2" s="13">
        <v>19.854460965143517</v>
      </c>
      <c r="I2" s="13">
        <v>22.995792000438087</v>
      </c>
      <c r="J2" s="13">
        <v>26.014273038890678</v>
      </c>
      <c r="K2" s="13"/>
    </row>
    <row r="3" spans="1:11" x14ac:dyDescent="0.3">
      <c r="A3" s="3">
        <v>15.351807355182245</v>
      </c>
      <c r="B3" s="5">
        <v>26.4260353964346</v>
      </c>
      <c r="D3" s="9">
        <v>13.515842763590626</v>
      </c>
      <c r="E3" s="11">
        <v>26.671783138590399</v>
      </c>
      <c r="G3" s="13">
        <v>20.76786194666056</v>
      </c>
      <c r="H3" s="13">
        <v>20.513016983750276</v>
      </c>
      <c r="I3" s="13">
        <v>24.895071596256457</v>
      </c>
      <c r="J3" s="13">
        <v>28.787044988712296</v>
      </c>
      <c r="K3" s="13"/>
    </row>
    <row r="4" spans="1:11" x14ac:dyDescent="0.3">
      <c r="A4" s="3">
        <v>16.155391398933716</v>
      </c>
      <c r="B4" s="5">
        <v>19.411846273578703</v>
      </c>
      <c r="D4" s="9">
        <v>12.219679799964069</v>
      </c>
      <c r="E4" s="11">
        <v>21.724945958703756</v>
      </c>
      <c r="G4" s="13">
        <v>20.833277353085577</v>
      </c>
      <c r="H4" s="13">
        <v>20.868347468785942</v>
      </c>
      <c r="I4" s="13">
        <v>23.414523361134343</v>
      </c>
      <c r="J4" s="13">
        <v>25.729378371033818</v>
      </c>
      <c r="K4" s="13"/>
    </row>
    <row r="5" spans="1:11" x14ac:dyDescent="0.3">
      <c r="A5" s="3">
        <v>21.349140474194428</v>
      </c>
      <c r="B5" s="5">
        <v>22.877825990144629</v>
      </c>
      <c r="D5" s="9">
        <v>6.0834520607022569</v>
      </c>
      <c r="E5" s="11">
        <v>29.907560651190579</v>
      </c>
      <c r="G5" s="13">
        <v>21.854726305173244</v>
      </c>
      <c r="H5" s="13">
        <v>21.100323187420145</v>
      </c>
      <c r="I5" s="13">
        <v>23.088678694330156</v>
      </c>
      <c r="J5" s="13">
        <v>19.57235389854759</v>
      </c>
      <c r="K5" s="13"/>
    </row>
    <row r="6" spans="1:11" x14ac:dyDescent="0.3">
      <c r="A6" s="3">
        <v>24.2832499629003</v>
      </c>
      <c r="B6" s="5">
        <v>23.968285126466071</v>
      </c>
      <c r="D6" s="9">
        <v>9.2027403550309828</v>
      </c>
      <c r="E6" s="11">
        <v>27.999115622515092</v>
      </c>
      <c r="G6" s="13">
        <v>21.872161318606231</v>
      </c>
      <c r="H6" s="13">
        <v>21.203368937131017</v>
      </c>
      <c r="I6" s="13">
        <v>25.308205017063301</v>
      </c>
      <c r="J6" s="13">
        <v>27.107472028001212</v>
      </c>
      <c r="K6" s="13"/>
    </row>
    <row r="7" spans="1:11" x14ac:dyDescent="0.3">
      <c r="A7" s="3">
        <v>24.915274884187966</v>
      </c>
      <c r="B7" s="5">
        <v>26.533865088276798</v>
      </c>
      <c r="D7" s="9">
        <v>8.8929653227387462</v>
      </c>
      <c r="E7" s="11">
        <v>28.719530923262937</v>
      </c>
      <c r="G7" s="13">
        <v>22.065256138739642</v>
      </c>
      <c r="H7" s="13">
        <v>21.429678503773175</v>
      </c>
      <c r="I7" s="13">
        <v>27.46915988100227</v>
      </c>
      <c r="J7" s="13">
        <v>26.860707925516181</v>
      </c>
      <c r="K7" s="13"/>
    </row>
    <row r="8" spans="1:11" x14ac:dyDescent="0.3">
      <c r="A8" s="3">
        <v>26.505964064563159</v>
      </c>
      <c r="B8" s="5">
        <v>22.49879862065427</v>
      </c>
      <c r="D8" s="9">
        <v>8.7286014402343426</v>
      </c>
      <c r="E8" s="11">
        <v>29.42171312897699</v>
      </c>
      <c r="G8" s="13">
        <v>22.259114934422541</v>
      </c>
      <c r="H8" s="13">
        <v>21.883639141742606</v>
      </c>
      <c r="I8" s="13">
        <v>21.568913047667593</v>
      </c>
      <c r="J8" s="13">
        <v>30.250176400295459</v>
      </c>
      <c r="K8" s="13"/>
    </row>
    <row r="9" spans="1:11" x14ac:dyDescent="0.3">
      <c r="A9" s="3">
        <v>33.528149919584394</v>
      </c>
      <c r="B9" s="5">
        <v>27.934000349341659</v>
      </c>
      <c r="D9" s="9">
        <v>17.336457201745361</v>
      </c>
      <c r="E9" s="11">
        <v>25.930750729821739</v>
      </c>
      <c r="G9" s="13">
        <v>22.501397501764586</v>
      </c>
      <c r="H9" s="13">
        <v>22.62652805657126</v>
      </c>
      <c r="I9" s="13">
        <v>25.97973952506436</v>
      </c>
      <c r="J9" s="13">
        <v>23.920493453624658</v>
      </c>
      <c r="K9" s="13"/>
    </row>
    <row r="10" spans="1:11" x14ac:dyDescent="0.3">
      <c r="A10" s="3">
        <v>27.378010321990587</v>
      </c>
      <c r="B10" s="5">
        <v>19.757818058133125</v>
      </c>
      <c r="D10" s="9">
        <v>7.2982482177030761</v>
      </c>
      <c r="E10" s="11">
        <v>25.034078766475432</v>
      </c>
      <c r="G10" s="13">
        <v>22.828911091346527</v>
      </c>
      <c r="H10" s="13">
        <v>22.767381501034833</v>
      </c>
      <c r="I10" s="13">
        <v>24.358110471803229</v>
      </c>
      <c r="J10" s="13">
        <v>33.067727321758866</v>
      </c>
      <c r="K10" s="13"/>
    </row>
    <row r="11" spans="1:11" x14ac:dyDescent="0.3">
      <c r="A11" s="3">
        <v>19.777044776128605</v>
      </c>
      <c r="B11" s="5">
        <v>28.970449142798316</v>
      </c>
      <c r="D11" s="9">
        <v>12.244498773507075</v>
      </c>
      <c r="E11" s="11">
        <v>23.984826561354566</v>
      </c>
      <c r="G11" s="13">
        <v>23.326075001386926</v>
      </c>
      <c r="H11" s="13">
        <v>23.210596459102817</v>
      </c>
      <c r="I11" s="13">
        <v>23.28572526894277</v>
      </c>
      <c r="J11" s="13">
        <v>30.77154423808679</v>
      </c>
      <c r="K11" s="13"/>
    </row>
    <row r="12" spans="1:11" x14ac:dyDescent="0.3">
      <c r="A12" s="3">
        <v>27.919540520451847</v>
      </c>
      <c r="B12" s="5">
        <v>31.022992238285951</v>
      </c>
      <c r="D12" s="9">
        <v>5.6849433146999218</v>
      </c>
      <c r="E12" s="11">
        <v>25.609693415754009</v>
      </c>
      <c r="G12" s="13">
        <v>23.490670805040281</v>
      </c>
      <c r="H12" s="13">
        <v>23.748398866155185</v>
      </c>
      <c r="I12" s="13">
        <v>24.309106897271704</v>
      </c>
      <c r="J12" s="13">
        <v>31.010450306348503</v>
      </c>
      <c r="K12" s="13"/>
    </row>
    <row r="13" spans="1:11" x14ac:dyDescent="0.3">
      <c r="A13" s="3">
        <v>30.924061952100601</v>
      </c>
      <c r="B13" s="5">
        <v>29.222840743750567</v>
      </c>
      <c r="D13" s="9">
        <v>12.443828179821139</v>
      </c>
      <c r="E13" s="11">
        <v>19.331847119610757</v>
      </c>
      <c r="F13" s="15"/>
      <c r="G13" s="13">
        <v>23.527539446513401</v>
      </c>
      <c r="H13" s="13">
        <v>24.74570073391078</v>
      </c>
      <c r="I13" s="13">
        <v>25.66884695115732</v>
      </c>
      <c r="J13" s="13">
        <v>12.937044352293015</v>
      </c>
      <c r="K13" s="13"/>
    </row>
    <row r="14" spans="1:11" x14ac:dyDescent="0.3">
      <c r="A14" s="3">
        <v>31.828020104876487</v>
      </c>
      <c r="B14" s="5">
        <v>25.973229816736421</v>
      </c>
      <c r="D14" s="9">
        <v>12.250269517389825</v>
      </c>
      <c r="E14" s="11">
        <v>24.533746404267731</v>
      </c>
      <c r="G14" s="13">
        <v>23.765913460374577</v>
      </c>
      <c r="H14" s="13">
        <v>24.968022166285664</v>
      </c>
      <c r="I14" s="13">
        <v>29.389003152027726</v>
      </c>
      <c r="J14" s="13">
        <v>19.780082488432527</v>
      </c>
      <c r="K14" s="13"/>
    </row>
    <row r="15" spans="1:11" x14ac:dyDescent="0.3">
      <c r="A15" s="3">
        <v>22.550219177355757</v>
      </c>
      <c r="B15" s="5">
        <v>24.309713984985137</v>
      </c>
      <c r="D15" s="9">
        <v>14.146941137150861</v>
      </c>
      <c r="E15" s="11">
        <v>24.146011759876274</v>
      </c>
      <c r="G15" s="13">
        <v>23.861703716102056</v>
      </c>
      <c r="H15" s="13">
        <v>25.116142473416403</v>
      </c>
      <c r="I15" s="13">
        <v>25.197303506865865</v>
      </c>
      <c r="J15" s="13">
        <v>27.060160113614984</v>
      </c>
      <c r="K15" s="13"/>
    </row>
    <row r="16" spans="1:11" x14ac:dyDescent="0.3">
      <c r="A16" s="3">
        <v>10.644171829335392</v>
      </c>
      <c r="B16" s="5">
        <v>23.7193075412506</v>
      </c>
      <c r="D16" s="9">
        <v>8.2201688908389769</v>
      </c>
      <c r="E16" s="11">
        <v>22.273712324385997</v>
      </c>
      <c r="G16" s="13">
        <v>23.871314801363042</v>
      </c>
      <c r="H16" s="13">
        <v>25.203726813197136</v>
      </c>
      <c r="I16" s="13">
        <v>23.901525941619184</v>
      </c>
      <c r="J16" s="13">
        <v>24.023916643636767</v>
      </c>
      <c r="K16" s="13"/>
    </row>
    <row r="17" spans="1:11" x14ac:dyDescent="0.3">
      <c r="A17" s="3">
        <v>27.32290631174692</v>
      </c>
      <c r="B17" s="5">
        <v>23.511209469143068</v>
      </c>
      <c r="D17" s="9">
        <v>7.2913519741268829</v>
      </c>
      <c r="E17" s="11">
        <v>28.208397174603306</v>
      </c>
      <c r="G17" s="13">
        <v>24.061056996652042</v>
      </c>
      <c r="H17" s="13">
        <v>25.360796548193321</v>
      </c>
      <c r="I17" s="13">
        <v>24.983706402417738</v>
      </c>
      <c r="J17" s="13">
        <v>27.884453351725824</v>
      </c>
      <c r="K17" s="13"/>
    </row>
    <row r="18" spans="1:11" x14ac:dyDescent="0.3">
      <c r="A18" s="3">
        <v>27.743519189607468</v>
      </c>
      <c r="B18" s="5">
        <v>29.42783857579343</v>
      </c>
      <c r="D18" s="9">
        <v>14.616513251676224</v>
      </c>
      <c r="E18" s="11">
        <v>22.485128915286623</v>
      </c>
      <c r="G18" s="13">
        <v>24.816864146851003</v>
      </c>
      <c r="H18" s="13">
        <v>25.467553036287427</v>
      </c>
      <c r="I18" s="13">
        <v>27.557444531703368</v>
      </c>
      <c r="J18" s="13">
        <v>27.204069460276514</v>
      </c>
      <c r="K18" s="13"/>
    </row>
    <row r="19" spans="1:11" x14ac:dyDescent="0.3">
      <c r="A19" s="3">
        <v>16.197137205745094</v>
      </c>
      <c r="B19" s="5">
        <v>25.198544967133785</v>
      </c>
      <c r="D19" s="9">
        <v>9.5708776623359881</v>
      </c>
      <c r="E19" s="11">
        <v>29.444973455974832</v>
      </c>
      <c r="G19" s="13">
        <v>24.915191892796429</v>
      </c>
      <c r="H19" s="13">
        <v>25.48295987653546</v>
      </c>
      <c r="I19" s="13">
        <v>27.862570909201168</v>
      </c>
      <c r="J19" s="13">
        <v>29.631701813195832</v>
      </c>
      <c r="K19" s="13"/>
    </row>
    <row r="20" spans="1:11" x14ac:dyDescent="0.3">
      <c r="A20" s="3">
        <v>24.892321511651971</v>
      </c>
      <c r="B20" s="5">
        <v>25.658980070511461</v>
      </c>
      <c r="D20" s="9">
        <v>10.265529251919361</v>
      </c>
      <c r="E20" s="11">
        <v>23.7925878031092</v>
      </c>
      <c r="G20" s="13">
        <v>25.081595317169558</v>
      </c>
      <c r="H20" s="13">
        <v>25.716627255314961</v>
      </c>
      <c r="I20" s="13">
        <v>26.596604306541849</v>
      </c>
      <c r="J20" s="13">
        <v>26.225917003466748</v>
      </c>
      <c r="K20" s="13"/>
    </row>
    <row r="21" spans="1:11" x14ac:dyDescent="0.3">
      <c r="A21" s="3">
        <v>20.667735674942378</v>
      </c>
      <c r="B21" s="5">
        <v>26.534124294266803</v>
      </c>
      <c r="D21" s="9">
        <v>7.3694377786159748</v>
      </c>
      <c r="E21" s="11">
        <v>21.902829479950015</v>
      </c>
      <c r="G21" s="13">
        <v>25.278663492281339</v>
      </c>
      <c r="H21" s="13">
        <v>25.75584466685541</v>
      </c>
      <c r="I21" s="13">
        <v>29.238754627294838</v>
      </c>
      <c r="J21" s="13">
        <v>24.013193701102864</v>
      </c>
      <c r="K21" s="13"/>
    </row>
    <row r="22" spans="1:11" x14ac:dyDescent="0.3">
      <c r="A22" s="3">
        <v>21.408308788886643</v>
      </c>
      <c r="B22" s="5">
        <v>24.859612671571085</v>
      </c>
      <c r="D22" s="9">
        <v>11.326343408436514</v>
      </c>
      <c r="E22" s="11">
        <v>25.240884219238069</v>
      </c>
      <c r="G22" s="13">
        <v>25.318100319418591</v>
      </c>
      <c r="H22" s="13">
        <v>25.820427885628305</v>
      </c>
      <c r="I22" s="13">
        <v>26.317407622991595</v>
      </c>
      <c r="J22" s="13">
        <v>22.432105374173261</v>
      </c>
      <c r="K22" s="13"/>
    </row>
    <row r="23" spans="1:11" x14ac:dyDescent="0.3">
      <c r="A23" s="3">
        <v>20.621340076468186</v>
      </c>
      <c r="B23" s="5">
        <v>23.790844983886927</v>
      </c>
      <c r="D23" s="9">
        <v>11.347632405668264</v>
      </c>
      <c r="E23" s="11">
        <v>26.215877318827552</v>
      </c>
      <c r="G23" s="13">
        <v>25.387663021683693</v>
      </c>
      <c r="H23" s="13">
        <v>25.892123352969065</v>
      </c>
      <c r="I23" s="13">
        <v>26.609469109098427</v>
      </c>
      <c r="J23" s="13">
        <v>28.92188667319715</v>
      </c>
      <c r="K23" s="13"/>
    </row>
    <row r="24" spans="1:11" x14ac:dyDescent="0.3">
      <c r="A24" s="3">
        <v>36.63552951766178</v>
      </c>
      <c r="B24" s="5">
        <v>29.547987373371143</v>
      </c>
      <c r="D24" s="9">
        <v>9.9330975697375834</v>
      </c>
      <c r="E24" s="11">
        <v>29.769390216097236</v>
      </c>
      <c r="G24" s="13">
        <v>25.57739839576243</v>
      </c>
      <c r="H24" s="13">
        <v>27.124370439560153</v>
      </c>
      <c r="I24" s="13">
        <v>21.515725797507912</v>
      </c>
      <c r="J24" s="13">
        <v>29.495605026022531</v>
      </c>
      <c r="K24" s="13"/>
    </row>
    <row r="25" spans="1:11" x14ac:dyDescent="0.3">
      <c r="A25" s="3">
        <v>23.26261500857072</v>
      </c>
      <c r="B25" s="5">
        <v>25.864509956954862</v>
      </c>
      <c r="D25" s="9">
        <v>10.669092514726799</v>
      </c>
      <c r="E25" s="11">
        <v>22.376507963053882</v>
      </c>
      <c r="G25" s="13">
        <v>25.747915009924327</v>
      </c>
      <c r="H25" s="13">
        <v>27.204424163210206</v>
      </c>
      <c r="I25" s="13">
        <v>25.014151737559587</v>
      </c>
      <c r="J25" s="13">
        <v>23.518710526695941</v>
      </c>
      <c r="K25" s="13"/>
    </row>
    <row r="26" spans="1:11" x14ac:dyDescent="0.3">
      <c r="A26" s="3">
        <v>19.749919096648227</v>
      </c>
      <c r="B26" s="5">
        <v>27.073231826216215</v>
      </c>
      <c r="D26" s="9">
        <v>5.4635677568148822</v>
      </c>
      <c r="E26" s="11">
        <v>23.793832673982251</v>
      </c>
      <c r="G26" s="13">
        <v>25.816055489849532</v>
      </c>
      <c r="H26" s="13">
        <v>28.737513907253742</v>
      </c>
      <c r="I26" s="13">
        <v>27.136494003934786</v>
      </c>
      <c r="J26" s="13">
        <v>17.852972354739904</v>
      </c>
      <c r="K26" s="13"/>
    </row>
    <row r="27" spans="1:11" x14ac:dyDescent="0.3">
      <c r="A27" s="3">
        <v>31.920527084730566</v>
      </c>
      <c r="B27" s="5">
        <v>26.493722265877295</v>
      </c>
      <c r="D27" s="9">
        <v>10.534206492375233</v>
      </c>
      <c r="E27" s="11">
        <v>20.37145413341932</v>
      </c>
      <c r="G27" s="13">
        <v>25.987267867458286</v>
      </c>
      <c r="H27" s="13">
        <v>28.758395905606449</v>
      </c>
      <c r="I27" s="13">
        <v>27.649539965204895</v>
      </c>
      <c r="J27" s="13">
        <v>23.897310433676466</v>
      </c>
      <c r="K27" s="13"/>
    </row>
    <row r="28" spans="1:11" x14ac:dyDescent="0.3">
      <c r="A28" s="3">
        <v>21.659300904866541</v>
      </c>
      <c r="B28" s="5">
        <v>26.002543967842939</v>
      </c>
      <c r="D28" s="9">
        <v>3.8324253889732063</v>
      </c>
      <c r="E28" s="11">
        <v>23.503160441032378</v>
      </c>
      <c r="G28" s="13">
        <v>26.117607553169364</v>
      </c>
      <c r="H28" s="13">
        <v>28.919412847608328</v>
      </c>
      <c r="I28" s="13">
        <v>27.686419975361787</v>
      </c>
      <c r="J28" s="13">
        <v>21.315191310713999</v>
      </c>
      <c r="K28" s="13"/>
    </row>
    <row r="29" spans="1:11" x14ac:dyDescent="0.3">
      <c r="A29" s="3">
        <v>29.437890765984775</v>
      </c>
      <c r="B29" s="5">
        <v>25.619069169260911</v>
      </c>
      <c r="D29" s="9">
        <v>14.970738700649235</v>
      </c>
      <c r="E29" s="11">
        <v>20.744151419785339</v>
      </c>
      <c r="G29" s="13">
        <v>26.203432020702166</v>
      </c>
      <c r="H29" s="13">
        <v>29.042940418003127</v>
      </c>
      <c r="I29" s="13">
        <v>24.802389538672287</v>
      </c>
      <c r="J29" s="13">
        <v>26.297958078794181</v>
      </c>
      <c r="K29" s="13"/>
    </row>
    <row r="30" spans="1:11" x14ac:dyDescent="0.3">
      <c r="A30" s="3">
        <v>24.091772906467668</v>
      </c>
      <c r="B30" s="5">
        <v>28.547506821632851</v>
      </c>
      <c r="D30" s="9">
        <v>8.3773159328848124</v>
      </c>
      <c r="E30" s="11">
        <v>25.752174855733756</v>
      </c>
      <c r="G30" s="13">
        <v>26.559287738928106</v>
      </c>
      <c r="H30" s="13">
        <v>29.135299604968168</v>
      </c>
      <c r="I30" s="13">
        <v>25.377453943656292</v>
      </c>
      <c r="J30" s="13">
        <v>22.529857864719816</v>
      </c>
      <c r="K30" s="13"/>
    </row>
    <row r="31" spans="1:11" x14ac:dyDescent="0.3">
      <c r="A31" s="3">
        <v>20.863731783174444</v>
      </c>
      <c r="B31" s="5">
        <v>25.967182813838008</v>
      </c>
      <c r="D31" s="9">
        <v>9.4830375271703815</v>
      </c>
      <c r="E31" s="11">
        <v>30.353476808522828</v>
      </c>
      <c r="G31" s="13">
        <v>26.591688487678766</v>
      </c>
      <c r="H31" s="13">
        <v>29.24547579314094</v>
      </c>
      <c r="I31" s="13">
        <v>22.531494955183007</v>
      </c>
      <c r="J31" s="13">
        <v>26.327671270701103</v>
      </c>
      <c r="K31" s="13"/>
    </row>
    <row r="32" spans="1:11" x14ac:dyDescent="0.3">
      <c r="A32" s="3">
        <v>34.383893484482542</v>
      </c>
      <c r="B32" s="5">
        <v>26.203432020702166</v>
      </c>
      <c r="D32" s="9">
        <v>8.3139946380106267</v>
      </c>
      <c r="E32" s="11">
        <v>23.89419314058614</v>
      </c>
      <c r="G32" s="13">
        <v>26.695422042757855</v>
      </c>
      <c r="H32" s="13">
        <v>29.72631654702127</v>
      </c>
      <c r="I32" s="13">
        <v>27.200663402618375</v>
      </c>
      <c r="J32" s="13">
        <v>24.465526343556121</v>
      </c>
      <c r="K32" s="13"/>
    </row>
    <row r="33" spans="1:11" x14ac:dyDescent="0.3">
      <c r="A33" s="3">
        <v>13.222134561510757</v>
      </c>
      <c r="B33" s="5">
        <v>26.441731001250446</v>
      </c>
      <c r="D33" s="9">
        <v>6.435815319273388</v>
      </c>
      <c r="E33" s="11">
        <v>24.439658040500944</v>
      </c>
      <c r="G33" s="13">
        <v>26.754173126755632</v>
      </c>
      <c r="H33" s="13">
        <v>29.833163984585553</v>
      </c>
      <c r="I33" s="13">
        <v>22.023323885514401</v>
      </c>
      <c r="J33" s="13">
        <v>25.197906047105789</v>
      </c>
      <c r="K33" s="13"/>
    </row>
    <row r="34" spans="1:11" x14ac:dyDescent="0.3">
      <c r="A34" s="3">
        <v>25.315571924147662</v>
      </c>
      <c r="B34" s="5">
        <v>18.736246324260719</v>
      </c>
      <c r="D34" s="9">
        <v>8.7611658980313223</v>
      </c>
      <c r="E34" s="11">
        <v>28.15204715661821</v>
      </c>
      <c r="G34" s="13">
        <v>26.942592007253552</v>
      </c>
      <c r="H34" s="13">
        <v>30.338333721738309</v>
      </c>
      <c r="I34" s="13">
        <v>27.740962372627109</v>
      </c>
      <c r="J34" s="13">
        <v>25.470322447654326</v>
      </c>
      <c r="K34" s="13"/>
    </row>
    <row r="35" spans="1:11" x14ac:dyDescent="0.3">
      <c r="A35" s="3">
        <v>26.812753680496826</v>
      </c>
      <c r="B35" s="5">
        <v>29.758053364639636</v>
      </c>
      <c r="D35" s="9">
        <v>8.6021634867938701</v>
      </c>
      <c r="E35" s="11">
        <v>16.793047229293734</v>
      </c>
      <c r="G35" s="13">
        <v>27.289996245963266</v>
      </c>
      <c r="H35" s="13">
        <v>32.691160135436803</v>
      </c>
      <c r="I35" s="13">
        <v>27.382639650022611</v>
      </c>
      <c r="J35" s="13">
        <v>28.099808054685127</v>
      </c>
      <c r="K35" s="13"/>
    </row>
    <row r="36" spans="1:11" x14ac:dyDescent="0.3">
      <c r="A36" s="3">
        <v>18.493884176132269</v>
      </c>
      <c r="B36" s="5">
        <v>23.652619979111478</v>
      </c>
      <c r="D36" s="9">
        <v>10.517429725732654</v>
      </c>
      <c r="E36" s="11">
        <v>26.872640496003442</v>
      </c>
      <c r="G36" s="13">
        <v>27.469175797159551</v>
      </c>
      <c r="H36" s="13">
        <v>32.873932190704998</v>
      </c>
      <c r="I36" s="13">
        <v>23.996383965277346</v>
      </c>
      <c r="J36" s="13">
        <v>24.762258084956557</v>
      </c>
      <c r="K36" s="13"/>
    </row>
    <row r="37" spans="1:11" x14ac:dyDescent="0.3">
      <c r="A37" s="3">
        <v>24.115095761226257</v>
      </c>
      <c r="B37" s="5">
        <v>24.120169604793773</v>
      </c>
      <c r="D37" s="9">
        <v>8.8560284691629931</v>
      </c>
      <c r="E37" s="11">
        <v>20.640564520726912</v>
      </c>
      <c r="G37" s="13">
        <v>27.636970748426393</v>
      </c>
      <c r="H37" s="21">
        <f>AVERAGE(H2:H36)</f>
        <v>25.781897272515508</v>
      </c>
      <c r="I37" s="13">
        <v>29.299981810618192</v>
      </c>
      <c r="J37" s="13">
        <v>26.732760210870765</v>
      </c>
      <c r="K37" s="13"/>
    </row>
    <row r="38" spans="1:11" x14ac:dyDescent="0.3">
      <c r="A38" s="3">
        <v>25.0307920799969</v>
      </c>
      <c r="B38" s="5">
        <v>19.74934611498611</v>
      </c>
      <c r="D38" s="9">
        <v>11.005698777589714</v>
      </c>
      <c r="E38" s="11">
        <v>26.986957158806035</v>
      </c>
      <c r="G38" s="13">
        <v>27.74506646746886</v>
      </c>
      <c r="H38" s="22">
        <f>_xlfn.STDEV.S(H2:H36)</f>
        <v>3.4837995299417486</v>
      </c>
      <c r="I38" s="13">
        <v>26.554453774588183</v>
      </c>
      <c r="J38" s="13">
        <v>23.459229573199991</v>
      </c>
      <c r="K38" s="13"/>
    </row>
    <row r="39" spans="1:11" x14ac:dyDescent="0.3">
      <c r="A39" s="3">
        <v>17.450057106907479</v>
      </c>
      <c r="B39" s="5">
        <v>26.873199835245032</v>
      </c>
      <c r="D39" s="9">
        <v>12.318045062565943</v>
      </c>
      <c r="E39" s="11">
        <v>23.425719240913168</v>
      </c>
      <c r="G39" s="13">
        <v>27.773797405097866</v>
      </c>
      <c r="H39" s="14"/>
      <c r="I39" s="13">
        <v>24.386880062957061</v>
      </c>
      <c r="J39" s="13">
        <v>27.900751496781595</v>
      </c>
      <c r="K39" s="13"/>
    </row>
    <row r="40" spans="1:11" x14ac:dyDescent="0.3">
      <c r="A40" s="3">
        <v>25.50555968300614</v>
      </c>
      <c r="B40" s="5">
        <v>26.829059783631237</v>
      </c>
      <c r="D40" s="9">
        <v>7.9320102738711284</v>
      </c>
      <c r="E40" s="11">
        <v>24.866505504542147</v>
      </c>
      <c r="G40" s="13">
        <v>28.354923592269188</v>
      </c>
      <c r="H40" s="14"/>
      <c r="I40" s="13">
        <v>26.110947778215632</v>
      </c>
      <c r="J40" s="13">
        <v>30.987840268062428</v>
      </c>
      <c r="K40" s="13"/>
    </row>
    <row r="41" spans="1:11" x14ac:dyDescent="0.3">
      <c r="A41" s="3">
        <v>26.294324647460598</v>
      </c>
      <c r="B41" s="5">
        <v>28.055629349546507</v>
      </c>
      <c r="D41" s="9">
        <v>16.516329449368641</v>
      </c>
      <c r="E41" s="11">
        <v>22.664594957313966</v>
      </c>
      <c r="G41" s="13">
        <v>28.479615315882256</v>
      </c>
      <c r="H41" s="14"/>
      <c r="I41" s="13">
        <v>25.277582330454607</v>
      </c>
      <c r="J41" s="13">
        <v>22.624336174339987</v>
      </c>
      <c r="K41" s="13"/>
    </row>
    <row r="42" spans="1:11" x14ac:dyDescent="0.3">
      <c r="A42" s="3">
        <v>25.304459035760374</v>
      </c>
      <c r="B42" s="5">
        <v>26.520018031442305</v>
      </c>
      <c r="D42" s="9">
        <v>7.9592848831089213</v>
      </c>
      <c r="E42" s="11">
        <v>22.677002738782903</v>
      </c>
      <c r="G42" s="13">
        <v>28.510372152959462</v>
      </c>
      <c r="H42" s="14"/>
      <c r="I42" s="13">
        <f>AVERAGE(I2:I41)</f>
        <v>25.542078794296685</v>
      </c>
      <c r="J42" s="13">
        <v>31.595255399588495</v>
      </c>
      <c r="K42" s="13"/>
    </row>
    <row r="43" spans="1:11" x14ac:dyDescent="0.3">
      <c r="A43" s="3">
        <v>21.419194303598488</v>
      </c>
      <c r="B43" s="5">
        <v>25.287882357952185</v>
      </c>
      <c r="D43" s="9">
        <v>13.073419065913185</v>
      </c>
      <c r="E43" s="11">
        <v>29.10909706261009</v>
      </c>
      <c r="G43" s="13">
        <v>28.999848559033126</v>
      </c>
      <c r="H43" s="14"/>
      <c r="I43" s="22">
        <f>_xlfn.STDEV.S(I2:I41)</f>
        <v>2.0843571819833238</v>
      </c>
      <c r="J43" s="13">
        <v>26.021858224703465</v>
      </c>
      <c r="K43" s="13"/>
    </row>
    <row r="44" spans="1:11" x14ac:dyDescent="0.3">
      <c r="A44" s="3">
        <v>28.450531949056312</v>
      </c>
      <c r="B44" s="5">
        <v>24.144098410397419</v>
      </c>
      <c r="D44" s="9">
        <v>13.505829226924106</v>
      </c>
      <c r="E44" s="11">
        <v>23.026173670950811</v>
      </c>
      <c r="G44" s="13">
        <v>29.195821929897647</v>
      </c>
      <c r="H44" s="14"/>
      <c r="I44" s="13"/>
      <c r="J44" s="13">
        <v>27.976094037876464</v>
      </c>
      <c r="K44" s="13"/>
    </row>
    <row r="45" spans="1:11" x14ac:dyDescent="0.3">
      <c r="A45" s="3">
        <v>24.410169948532712</v>
      </c>
      <c r="B45" s="5">
        <v>25.347428112945636</v>
      </c>
      <c r="D45" s="9">
        <v>12.717631559789879</v>
      </c>
      <c r="E45" s="11">
        <v>28.604955054470338</v>
      </c>
      <c r="G45" s="13">
        <v>29.224696112942183</v>
      </c>
      <c r="H45" s="14"/>
      <c r="I45" s="13"/>
      <c r="J45" s="13">
        <v>32.710696081630886</v>
      </c>
      <c r="K45" s="13"/>
    </row>
    <row r="46" spans="1:11" x14ac:dyDescent="0.3">
      <c r="A46" s="3">
        <v>24.26894815871492</v>
      </c>
      <c r="B46" s="5">
        <v>28.608256520237774</v>
      </c>
      <c r="D46" s="9">
        <v>13.031441337952856</v>
      </c>
      <c r="E46" s="11">
        <v>26.98609768631286</v>
      </c>
      <c r="G46" s="13">
        <v>29.330609044700395</v>
      </c>
      <c r="H46" s="14"/>
      <c r="I46" s="13"/>
      <c r="J46" s="13">
        <v>24.88753188517876</v>
      </c>
      <c r="K46" s="13"/>
    </row>
    <row r="47" spans="1:11" x14ac:dyDescent="0.3">
      <c r="A47" s="3">
        <v>20.931750618183287</v>
      </c>
      <c r="B47" s="5">
        <v>21.455262589734048</v>
      </c>
      <c r="D47" s="9">
        <v>13.987597665400244</v>
      </c>
      <c r="E47" s="11">
        <v>23.358953234856017</v>
      </c>
      <c r="F47">
        <f>_xlfn.F.INV(0.95, 3, 168)</f>
        <v>2.6583989861483941</v>
      </c>
      <c r="G47" s="12">
        <f>AVERAGE(G2:G46)</f>
        <v>25.330344998171011</v>
      </c>
      <c r="H47" s="14"/>
      <c r="I47" s="13"/>
      <c r="J47" s="13">
        <v>22.869990693288855</v>
      </c>
      <c r="K47" s="13"/>
    </row>
    <row r="48" spans="1:11" x14ac:dyDescent="0.3">
      <c r="A48" s="3">
        <v>21.878932506660931</v>
      </c>
      <c r="B48" s="5">
        <v>20.794396454584785</v>
      </c>
      <c r="D48" s="9">
        <v>12.227834556833841</v>
      </c>
      <c r="E48" s="11">
        <v>25.971776898950338</v>
      </c>
      <c r="G48" s="12" t="str">
        <f>IF(Лист4!F13 &lt; 0.05, "Отвергаем H0", "Не отвергаем H0")</f>
        <v>Не отвергаем H0</v>
      </c>
      <c r="H48" s="14"/>
      <c r="I48" s="13"/>
      <c r="J48" s="13">
        <v>20.957059581996873</v>
      </c>
      <c r="K48" s="13"/>
    </row>
    <row r="49" spans="1:15" x14ac:dyDescent="0.3">
      <c r="A49" s="3">
        <v>30.385436452343129</v>
      </c>
      <c r="B49" s="5">
        <v>24.728249804320512</v>
      </c>
      <c r="D49" s="9">
        <v>5.2652069623582065</v>
      </c>
      <c r="E49" s="11">
        <v>21.560541148937773</v>
      </c>
      <c r="G49" s="22">
        <f>_xlfn.STDEV.S(G2:G46)</f>
        <v>2.5359494211709408</v>
      </c>
      <c r="H49" s="14"/>
      <c r="I49" s="13"/>
      <c r="J49" s="13">
        <v>21.245405782246962</v>
      </c>
      <c r="K49" s="13"/>
    </row>
    <row r="50" spans="1:15" x14ac:dyDescent="0.3">
      <c r="A50" s="3">
        <v>28.598131570470287</v>
      </c>
      <c r="B50" s="5">
        <v>22.94769564687158</v>
      </c>
      <c r="D50" s="9">
        <v>14.813755367649719</v>
      </c>
      <c r="E50" s="11">
        <v>23.841949491179548</v>
      </c>
      <c r="H50" s="14"/>
      <c r="I50" s="13"/>
      <c r="J50" s="13">
        <v>24.963129084790125</v>
      </c>
      <c r="K50" s="13"/>
    </row>
    <row r="51" spans="1:15" x14ac:dyDescent="0.3">
      <c r="A51" s="3">
        <v>25.432947899753344</v>
      </c>
      <c r="B51" s="5">
        <v>24.072138052724767</v>
      </c>
      <c r="D51" s="9">
        <v>9.4116092238982674</v>
      </c>
      <c r="E51" s="11">
        <v>23.653380544055835</v>
      </c>
      <c r="H51" s="14"/>
      <c r="I51" s="13"/>
      <c r="J51" s="13">
        <v>24.214855961326975</v>
      </c>
      <c r="K51" s="13"/>
    </row>
    <row r="52" spans="1:15" x14ac:dyDescent="0.3">
      <c r="A52" s="4">
        <f>AVERAGE(A2:A51)</f>
        <v>24.255049146995589</v>
      </c>
      <c r="B52" s="1">
        <f>AVERAGE(B2:B51)</f>
        <v>25.261544096247235</v>
      </c>
      <c r="D52" s="8">
        <f>AVERAGE(D2:D51)</f>
        <v>10.451316100225085</v>
      </c>
      <c r="E52" s="10">
        <f>AVERAGE(E2:E51)</f>
        <v>24.863766652197228</v>
      </c>
      <c r="J52">
        <f>AVERAGE(J2:J51)</f>
        <v>25.63168090491672</v>
      </c>
      <c r="K52" s="13"/>
      <c r="O52" s="16"/>
    </row>
    <row r="53" spans="1:15" x14ac:dyDescent="0.3">
      <c r="A53" s="4">
        <f>5/SQRT(COUNT(A2:A51))</f>
        <v>0.70710678118654746</v>
      </c>
      <c r="B53" s="1">
        <f>_xlfn.STDEV.S(B2:B51)</f>
        <v>2.8366793041897704</v>
      </c>
      <c r="D53" s="8">
        <f>(AVERAGE(A2:A51) - AVERAGE(D2:D51)) / SQRT((25/50) + (16/50))</f>
        <v>15.243673058846577</v>
      </c>
      <c r="E53" s="10">
        <f>_xlfn.STDEV.S(E2:E51)</f>
        <v>3.0300235934701858</v>
      </c>
      <c r="J53" s="22">
        <f>_xlfn.STDEV.S(J2:J51)</f>
        <v>3.9002917319510515</v>
      </c>
      <c r="K53" s="13"/>
    </row>
    <row r="54" spans="1:15" x14ac:dyDescent="0.3">
      <c r="A54" s="4">
        <f>(A52-25)/A53</f>
        <v>-1.0535195996202444</v>
      </c>
      <c r="B54" s="1">
        <f>B53/SQRT(COUNT(B2:B51))</f>
        <v>0.40116703440882479</v>
      </c>
      <c r="D54" s="8">
        <f>_xlfn.STDEV.S(D2:D51)</f>
        <v>3.0885812320461801</v>
      </c>
      <c r="E54" s="10">
        <f>SQRT((B53^2/COUNT(B2:B51)) + (E53^2/COUNT(E2:E51)))</f>
        <v>0.58698879804992088</v>
      </c>
      <c r="K54" s="13"/>
    </row>
    <row r="55" spans="1:15" x14ac:dyDescent="0.3">
      <c r="A55" s="4">
        <f>_xlfn.NORM.S.INV(0.975)</f>
        <v>1.9599639845400536</v>
      </c>
      <c r="B55" s="1">
        <f>(B52-25)/B54</f>
        <v>0.65195809678792849</v>
      </c>
      <c r="D55" s="8">
        <f>_xlfn.NORM.S.INV(0.975)</f>
        <v>1.9599639845400536</v>
      </c>
      <c r="E55" s="10">
        <f>(B52-E52)/D54</f>
        <v>0.12878969797614165</v>
      </c>
      <c r="K55" s="13"/>
    </row>
    <row r="56" spans="1:15" x14ac:dyDescent="0.3">
      <c r="A56" s="4" t="str">
        <f>IF(ABS(A54)&gt;A55, "Отвергаем H0", "Не отвергаем H0")</f>
        <v>Не отвергаем H0</v>
      </c>
      <c r="B56" s="1">
        <f>_xlfn.T.INV.2T(0.05, COUNT(B2:B51)-1)</f>
        <v>2.0095752371292388</v>
      </c>
      <c r="D56" s="8" t="str">
        <f>IF(ABS(D54)&gt;D55, "Отвергаем H0", "Не отвергаем H0")</f>
        <v>Отвергаем H0</v>
      </c>
      <c r="E56" s="10">
        <f>_xlfn.T.INV.2T(0.05, COUNT(B2:B51)+COUNT(E2:E51)-2)</f>
        <v>1.9844674545084788</v>
      </c>
      <c r="K56" s="13"/>
    </row>
    <row r="57" spans="1:15" x14ac:dyDescent="0.3">
      <c r="A57" s="22">
        <f>_xlfn.STDEV.S(A2:A51)</f>
        <v>5.3416911574605859</v>
      </c>
      <c r="B57" s="1" t="str">
        <f>IF(ABS(B55)&gt;B56, "Отвергаем H0", "Не отвергаем H0")</f>
        <v>Не отвергаем H0</v>
      </c>
      <c r="D57" s="20"/>
      <c r="E57" s="10" t="str">
        <f>IF(ABS(E55)&gt;E56, "Отвергаем H0", "Не отвергаем H0")</f>
        <v>Не отвергаем H0</v>
      </c>
      <c r="K57" s="13"/>
    </row>
    <row r="58" spans="1:15" x14ac:dyDescent="0.3">
      <c r="B58" s="6">
        <f>_xlfn.VAR.S(B2:B51)</f>
        <v>8.0467494748185597</v>
      </c>
      <c r="E58" s="7">
        <f>_xlfn.VAR.S(B2:B51) / _xlfn.VAR.S(E2:E51)</f>
        <v>0.87645265303618125</v>
      </c>
      <c r="K58" s="13"/>
    </row>
    <row r="59" spans="1:15" x14ac:dyDescent="0.3">
      <c r="B59" s="6">
        <f>(COUNT(B2:B51)-1)*B58/10</f>
        <v>39.429072426610944</v>
      </c>
      <c r="E59" s="7">
        <f>_xlfn.F.INV(0.025, COUNT(B2:B51)-1, COUNT(E2:E51)-1)</f>
        <v>0.56747616954734093</v>
      </c>
      <c r="K59" s="13"/>
    </row>
    <row r="60" spans="1:15" x14ac:dyDescent="0.3">
      <c r="B60" s="6">
        <f>_xlfn.CHISQ.INV(0.025, COUNT(B2:B51)-1)</f>
        <v>31.554916462667123</v>
      </c>
      <c r="E60" s="7">
        <f>_xlfn.F.INV(0.975, COUNT(B2:B51)-1, COUNT(E2:E51)-1)</f>
        <v>1.7621885352431099</v>
      </c>
      <c r="K60" s="13"/>
    </row>
    <row r="61" spans="1:15" x14ac:dyDescent="0.3">
      <c r="B61" s="6">
        <f>_xlfn.CHISQ.INV(0.975, COUNT(B2:B51)-1)</f>
        <v>70.22241356643454</v>
      </c>
      <c r="E61" s="7" t="str">
        <f>IF(OR(E59&lt;E60, E59&gt;E60), "Отвергаем H0", "Не отвергаем H0")</f>
        <v>Отвергаем H0</v>
      </c>
      <c r="K61" s="13"/>
    </row>
    <row r="62" spans="1:15" x14ac:dyDescent="0.3">
      <c r="B62" s="6" t="str">
        <f>IF(OR(B59&lt;B60, B60&gt;B61), "Отвергаем H0", "Не отвергаем H0")</f>
        <v>Не отвергаем H0</v>
      </c>
      <c r="K62" s="13"/>
    </row>
    <row r="63" spans="1:15" x14ac:dyDescent="0.3">
      <c r="K63" s="13"/>
    </row>
    <row r="64" spans="1:15" x14ac:dyDescent="0.3">
      <c r="K64" s="13"/>
    </row>
    <row r="65" spans="11:11" x14ac:dyDescent="0.3">
      <c r="K65" s="13"/>
    </row>
    <row r="66" spans="11:11" x14ac:dyDescent="0.3">
      <c r="K66" s="13"/>
    </row>
    <row r="67" spans="11:11" x14ac:dyDescent="0.3">
      <c r="K67" s="13"/>
    </row>
    <row r="68" spans="11:11" x14ac:dyDescent="0.3">
      <c r="K68" s="13"/>
    </row>
    <row r="69" spans="11:11" x14ac:dyDescent="0.3">
      <c r="K69" s="13"/>
    </row>
    <row r="70" spans="11:11" x14ac:dyDescent="0.3">
      <c r="K70" s="13"/>
    </row>
    <row r="71" spans="11:11" x14ac:dyDescent="0.3">
      <c r="K71" s="13"/>
    </row>
    <row r="72" spans="11:11" x14ac:dyDescent="0.3">
      <c r="K72" s="13"/>
    </row>
    <row r="73" spans="11:11" x14ac:dyDescent="0.3">
      <c r="K73" s="13"/>
    </row>
    <row r="74" spans="11:11" x14ac:dyDescent="0.3">
      <c r="K74" s="13"/>
    </row>
    <row r="75" spans="11:11" x14ac:dyDescent="0.3">
      <c r="K75" s="13"/>
    </row>
    <row r="76" spans="11:11" x14ac:dyDescent="0.3">
      <c r="K76" s="13"/>
    </row>
    <row r="77" spans="11:11" x14ac:dyDescent="0.3">
      <c r="K77" s="13"/>
    </row>
    <row r="78" spans="11:11" x14ac:dyDescent="0.3">
      <c r="K78" s="13"/>
    </row>
    <row r="79" spans="11:11" x14ac:dyDescent="0.3">
      <c r="K79" s="13"/>
    </row>
    <row r="80" spans="11:11" x14ac:dyDescent="0.3">
      <c r="K80" s="13"/>
    </row>
    <row r="81" spans="11:11" x14ac:dyDescent="0.3">
      <c r="K81" s="13"/>
    </row>
    <row r="82" spans="11:11" x14ac:dyDescent="0.3">
      <c r="K82" s="13"/>
    </row>
    <row r="83" spans="11:11" x14ac:dyDescent="0.3">
      <c r="K83" s="13"/>
    </row>
    <row r="84" spans="11:11" x14ac:dyDescent="0.3">
      <c r="K84" s="13"/>
    </row>
    <row r="85" spans="11:11" x14ac:dyDescent="0.3">
      <c r="K85" s="13"/>
    </row>
    <row r="86" spans="11:11" x14ac:dyDescent="0.3">
      <c r="K86" s="13"/>
    </row>
    <row r="87" spans="11:11" x14ac:dyDescent="0.3">
      <c r="K87" s="13"/>
    </row>
    <row r="88" spans="11:11" x14ac:dyDescent="0.3">
      <c r="K88" s="13"/>
    </row>
    <row r="89" spans="11:11" x14ac:dyDescent="0.3">
      <c r="K89" s="13"/>
    </row>
    <row r="90" spans="11:11" x14ac:dyDescent="0.3">
      <c r="K90" s="13"/>
    </row>
    <row r="91" spans="11:11" x14ac:dyDescent="0.3">
      <c r="K91" s="13"/>
    </row>
    <row r="92" spans="11:11" x14ac:dyDescent="0.3">
      <c r="K92" s="13"/>
    </row>
    <row r="93" spans="11:11" x14ac:dyDescent="0.3">
      <c r="K93" s="13"/>
    </row>
    <row r="94" spans="11:11" x14ac:dyDescent="0.3">
      <c r="K94" s="13"/>
    </row>
    <row r="95" spans="11:11" x14ac:dyDescent="0.3">
      <c r="K95" s="13"/>
    </row>
    <row r="96" spans="11:11" x14ac:dyDescent="0.3">
      <c r="K96" s="13"/>
    </row>
    <row r="97" spans="11:11" x14ac:dyDescent="0.3">
      <c r="K97" s="13"/>
    </row>
    <row r="98" spans="11:11" x14ac:dyDescent="0.3">
      <c r="K98" s="13"/>
    </row>
    <row r="99" spans="11:11" x14ac:dyDescent="0.3">
      <c r="K99" s="13"/>
    </row>
    <row r="100" spans="11:11" x14ac:dyDescent="0.3">
      <c r="K100" s="13"/>
    </row>
    <row r="101" spans="11:11" x14ac:dyDescent="0.3">
      <c r="K101" s="13"/>
    </row>
    <row r="102" spans="11:11" x14ac:dyDescent="0.3">
      <c r="K102" s="13"/>
    </row>
    <row r="103" spans="11:11" x14ac:dyDescent="0.3">
      <c r="K103" s="13"/>
    </row>
    <row r="104" spans="11:11" x14ac:dyDescent="0.3">
      <c r="K104" s="13"/>
    </row>
    <row r="105" spans="11:11" x14ac:dyDescent="0.3">
      <c r="K105" s="13"/>
    </row>
    <row r="106" spans="11:11" x14ac:dyDescent="0.3">
      <c r="K106" s="13"/>
    </row>
    <row r="107" spans="11:11" x14ac:dyDescent="0.3">
      <c r="K107" s="13"/>
    </row>
    <row r="108" spans="11:11" x14ac:dyDescent="0.3">
      <c r="K108" s="13"/>
    </row>
    <row r="109" spans="11:11" x14ac:dyDescent="0.3">
      <c r="K109" s="13"/>
    </row>
    <row r="110" spans="11:11" x14ac:dyDescent="0.3">
      <c r="K110" s="13"/>
    </row>
    <row r="111" spans="11:11" x14ac:dyDescent="0.3">
      <c r="K111" s="13"/>
    </row>
    <row r="112" spans="11:11" x14ac:dyDescent="0.3">
      <c r="K112" s="13"/>
    </row>
    <row r="113" spans="11:11" x14ac:dyDescent="0.3">
      <c r="K113" s="13"/>
    </row>
    <row r="114" spans="11:11" x14ac:dyDescent="0.3">
      <c r="K114" s="13"/>
    </row>
    <row r="115" spans="11:11" x14ac:dyDescent="0.3">
      <c r="K115" s="13"/>
    </row>
    <row r="116" spans="11:11" x14ac:dyDescent="0.3">
      <c r="K116" s="13"/>
    </row>
    <row r="117" spans="11:11" x14ac:dyDescent="0.3">
      <c r="K117" s="13"/>
    </row>
    <row r="118" spans="11:11" x14ac:dyDescent="0.3">
      <c r="K118" s="13"/>
    </row>
    <row r="119" spans="11:11" x14ac:dyDescent="0.3">
      <c r="K119" s="13"/>
    </row>
    <row r="120" spans="11:11" x14ac:dyDescent="0.3">
      <c r="K120" s="13"/>
    </row>
    <row r="121" spans="11:11" x14ac:dyDescent="0.3">
      <c r="K121" s="13"/>
    </row>
    <row r="122" spans="11:11" x14ac:dyDescent="0.3">
      <c r="K122" s="13"/>
    </row>
    <row r="123" spans="11:11" x14ac:dyDescent="0.3">
      <c r="K123" s="13"/>
    </row>
    <row r="124" spans="11:11" x14ac:dyDescent="0.3">
      <c r="K124" s="13"/>
    </row>
    <row r="125" spans="11:11" x14ac:dyDescent="0.3">
      <c r="K125" s="13"/>
    </row>
    <row r="126" spans="11:11" x14ac:dyDescent="0.3">
      <c r="K126" s="13"/>
    </row>
    <row r="127" spans="11:11" x14ac:dyDescent="0.3">
      <c r="K127" s="13"/>
    </row>
    <row r="128" spans="11:11" x14ac:dyDescent="0.3">
      <c r="K128" s="13"/>
    </row>
    <row r="129" spans="11:11" x14ac:dyDescent="0.3">
      <c r="K129" s="13"/>
    </row>
    <row r="130" spans="11:11" x14ac:dyDescent="0.3">
      <c r="K130" s="13"/>
    </row>
    <row r="131" spans="11:11" x14ac:dyDescent="0.3">
      <c r="K131" s="13"/>
    </row>
    <row r="132" spans="11:11" x14ac:dyDescent="0.3">
      <c r="K132" s="13"/>
    </row>
    <row r="133" spans="11:11" x14ac:dyDescent="0.3">
      <c r="K133" s="13"/>
    </row>
    <row r="134" spans="11:11" x14ac:dyDescent="0.3">
      <c r="K134" s="13"/>
    </row>
    <row r="135" spans="11:11" x14ac:dyDescent="0.3">
      <c r="K135" s="13"/>
    </row>
    <row r="136" spans="11:11" x14ac:dyDescent="0.3">
      <c r="K136" s="13"/>
    </row>
    <row r="137" spans="11:11" x14ac:dyDescent="0.3">
      <c r="K137" s="13"/>
    </row>
    <row r="138" spans="11:11" x14ac:dyDescent="0.3">
      <c r="K138" s="13"/>
    </row>
    <row r="139" spans="11:11" x14ac:dyDescent="0.3">
      <c r="K139" s="13"/>
    </row>
    <row r="140" spans="11:11" x14ac:dyDescent="0.3">
      <c r="K140" s="13"/>
    </row>
    <row r="141" spans="11:11" x14ac:dyDescent="0.3">
      <c r="K141" s="13"/>
    </row>
    <row r="142" spans="11:11" x14ac:dyDescent="0.3">
      <c r="K142" s="13"/>
    </row>
    <row r="143" spans="11:11" x14ac:dyDescent="0.3">
      <c r="K143" s="13"/>
    </row>
    <row r="144" spans="11:11" x14ac:dyDescent="0.3">
      <c r="K144" s="13"/>
    </row>
    <row r="145" spans="11:11" x14ac:dyDescent="0.3">
      <c r="K145" s="13"/>
    </row>
    <row r="146" spans="11:11" x14ac:dyDescent="0.3">
      <c r="K146" s="13"/>
    </row>
    <row r="147" spans="11:11" x14ac:dyDescent="0.3">
      <c r="K147" s="13"/>
    </row>
    <row r="148" spans="11:11" x14ac:dyDescent="0.3">
      <c r="K148" s="13"/>
    </row>
    <row r="149" spans="11:11" x14ac:dyDescent="0.3">
      <c r="K149" s="13"/>
    </row>
    <row r="150" spans="11:11" x14ac:dyDescent="0.3">
      <c r="K150" s="13"/>
    </row>
    <row r="151" spans="11:11" x14ac:dyDescent="0.3">
      <c r="K151" s="13"/>
    </row>
    <row r="152" spans="11:11" x14ac:dyDescent="0.3">
      <c r="K152" s="13"/>
    </row>
    <row r="153" spans="11:11" x14ac:dyDescent="0.3">
      <c r="K153" s="13"/>
    </row>
    <row r="154" spans="11:11" x14ac:dyDescent="0.3">
      <c r="K154" s="13"/>
    </row>
    <row r="155" spans="11:11" x14ac:dyDescent="0.3">
      <c r="K155" s="13"/>
    </row>
    <row r="156" spans="11:11" x14ac:dyDescent="0.3">
      <c r="K156" s="13"/>
    </row>
    <row r="157" spans="11:11" x14ac:dyDescent="0.3">
      <c r="K157" s="13"/>
    </row>
    <row r="158" spans="11:11" x14ac:dyDescent="0.3">
      <c r="K158" s="13"/>
    </row>
    <row r="159" spans="11:11" x14ac:dyDescent="0.3">
      <c r="K159" s="13"/>
    </row>
    <row r="160" spans="11:11" x14ac:dyDescent="0.3">
      <c r="K160" s="13"/>
    </row>
    <row r="161" spans="11:11" x14ac:dyDescent="0.3">
      <c r="K161" s="13"/>
    </row>
    <row r="162" spans="11:11" x14ac:dyDescent="0.3">
      <c r="K162" s="13"/>
    </row>
    <row r="163" spans="11:11" x14ac:dyDescent="0.3">
      <c r="K163" s="13"/>
    </row>
    <row r="164" spans="11:11" x14ac:dyDescent="0.3">
      <c r="K164" s="13"/>
    </row>
    <row r="165" spans="11:11" x14ac:dyDescent="0.3">
      <c r="K165" s="13"/>
    </row>
    <row r="166" spans="11:11" x14ac:dyDescent="0.3">
      <c r="K166" s="13"/>
    </row>
    <row r="167" spans="11:11" x14ac:dyDescent="0.3">
      <c r="K167" s="13"/>
    </row>
    <row r="168" spans="11:11" x14ac:dyDescent="0.3">
      <c r="K168" s="13"/>
    </row>
    <row r="169" spans="11:11" x14ac:dyDescent="0.3">
      <c r="K169" s="13"/>
    </row>
    <row r="170" spans="11:11" x14ac:dyDescent="0.3">
      <c r="K170" s="13"/>
    </row>
    <row r="171" spans="11:11" x14ac:dyDescent="0.3">
      <c r="K171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Лист4</vt:lpstr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2025-03-10T14:50:04Z</dcterms:created>
  <dcterms:modified xsi:type="dcterms:W3CDTF">2025-11-18T20:16:45Z</dcterms:modified>
</cp:coreProperties>
</file>