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ina\Desktop\матстат\"/>
    </mc:Choice>
  </mc:AlternateContent>
  <bookViews>
    <workbookView xWindow="0" yWindow="0" windowWidth="12156" windowHeight="914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G4" i="1"/>
  <c r="H3" i="1"/>
  <c r="G3" i="1"/>
  <c r="M2" i="1"/>
  <c r="L2" i="1"/>
  <c r="K1" i="1" s="1"/>
  <c r="M1" i="1"/>
  <c r="L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1" i="1"/>
  <c r="H2" i="1" l="1"/>
  <c r="G2" i="1"/>
  <c r="E3" i="1"/>
  <c r="E2" i="1"/>
  <c r="E1" i="1"/>
  <c r="F2" i="1"/>
</calcChain>
</file>

<file path=xl/sharedStrings.xml><?xml version="1.0" encoding="utf-8"?>
<sst xmlns="http://schemas.openxmlformats.org/spreadsheetml/2006/main" count="10" uniqueCount="10">
  <si>
    <t>X1</t>
  </si>
  <si>
    <t>дисперсия =49</t>
  </si>
  <si>
    <t>X2</t>
  </si>
  <si>
    <t>дисперсия неизвестна</t>
  </si>
  <si>
    <t>X3</t>
  </si>
  <si>
    <t>мат.ожидание=40</t>
  </si>
  <si>
    <t xml:space="preserve">        eps</t>
  </si>
  <si>
    <t>u</t>
  </si>
  <si>
    <t>theta1</t>
  </si>
  <si>
    <t>theta2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</si>
</sst>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applyFill="1"/>
    <xf numFmtId="0" fontId="1" fillId="0" borderId="0" xfId="1"/>
    <xf numFmtId="0" fontId="1" fillId="0" borderId="0" xfId="1"/>
    <xf numFmtId="0" fontId="2" fillId="0" borderId="0" xfId="1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workbookViewId="0">
      <selection activeCell="F11" sqref="F11:F12"/>
    </sheetView>
  </sheetViews>
  <sheetFormatPr defaultRowHeight="14.4" x14ac:dyDescent="0.3"/>
  <cols>
    <col min="1" max="1" width="16.109375" customWidth="1"/>
    <col min="2" max="2" width="23.44140625" customWidth="1"/>
    <col min="3" max="3" width="22.21875" customWidth="1"/>
  </cols>
  <sheetData>
    <row r="1" spans="1:13" x14ac:dyDescent="0.3">
      <c r="A1" s="5" t="s">
        <v>0</v>
      </c>
      <c r="B1" s="5" t="s">
        <v>2</v>
      </c>
      <c r="C1" s="5" t="s">
        <v>4</v>
      </c>
      <c r="D1" s="2" t="s">
        <v>6</v>
      </c>
      <c r="E1" s="2">
        <f>AVERAGE(A3:A52)</f>
        <v>98.919313770784356</v>
      </c>
      <c r="F1" s="2" t="s">
        <v>7</v>
      </c>
      <c r="G1" s="2" t="s">
        <v>8</v>
      </c>
      <c r="H1" s="2" t="s">
        <v>9</v>
      </c>
      <c r="I1">
        <f>POWER(B3-$E$3, 2)</f>
        <v>337.04279669476369</v>
      </c>
      <c r="K1">
        <f>SUM(I2:L51)/50</f>
        <v>270.29548605565623</v>
      </c>
      <c r="L1">
        <f>_xlfn.CHISQ.INV(1-0.05/2, 49)</f>
        <v>70.22241356643454</v>
      </c>
      <c r="M1">
        <f>_xlfn.CHISQ.INV(0.05/2, 49)</f>
        <v>31.554916462667123</v>
      </c>
    </row>
    <row r="2" spans="1:13" x14ac:dyDescent="0.3">
      <c r="A2" s="1" t="s">
        <v>1</v>
      </c>
      <c r="B2" s="3" t="s">
        <v>3</v>
      </c>
      <c r="C2" s="4" t="s">
        <v>5</v>
      </c>
      <c r="D2">
        <v>0.05</v>
      </c>
      <c r="E2" s="2">
        <f>AVERAGE(C3:C52)</f>
        <v>41.030196017381968</v>
      </c>
      <c r="F2">
        <f>_xlfn.NORM.S.INV(0.95)</f>
        <v>1.6448536269514715</v>
      </c>
      <c r="G2">
        <f>E1-F2 *(36/SQRT(50))</f>
        <v>90.545086264312303</v>
      </c>
      <c r="H2">
        <f>E1+F2*36/SQRT(50)</f>
        <v>107.29354127725641</v>
      </c>
      <c r="I2">
        <f t="shared" ref="I2:I52" si="0">POWER(B4-$E$3, 2)</f>
        <v>27.166493110051345</v>
      </c>
      <c r="L2">
        <f>_xlfn.CHISQ.INV(1-0.05/2, 50)</f>
        <v>71.420195187506422</v>
      </c>
      <c r="M2">
        <f>_xlfn.CHISQ.INV(0.05/2, 50)</f>
        <v>32.357363695658648</v>
      </c>
    </row>
    <row r="3" spans="1:13" x14ac:dyDescent="0.3">
      <c r="A3" s="1">
        <v>107.29644398234086</v>
      </c>
      <c r="B3" s="3">
        <v>118.40212462411728</v>
      </c>
      <c r="C3" s="4">
        <v>36.916028521809494</v>
      </c>
      <c r="E3">
        <f>AVERAGE(B3:B52)</f>
        <v>100.0433992681792</v>
      </c>
      <c r="G3">
        <f xml:space="preserve"> 50 * K1 / POWER(L1,2)</f>
        <v>2.7406734517864106</v>
      </c>
      <c r="H3">
        <f>50 * K1 / POWER(M1,2)</f>
        <v>13.572964956536659</v>
      </c>
      <c r="I3">
        <f t="shared" si="0"/>
        <v>57.500114170100915</v>
      </c>
    </row>
    <row r="4" spans="1:13" x14ac:dyDescent="0.3">
      <c r="A4" s="1">
        <v>98.76004380894301</v>
      </c>
      <c r="B4" s="3">
        <v>94.831250660354272</v>
      </c>
      <c r="C4" s="4">
        <v>38.009195678605465</v>
      </c>
      <c r="D4" s="2"/>
      <c r="G4">
        <f>50 * (POWER(E2,2) - 2 * E2 * 15 + 15*15) / POWER(L2,2)</f>
        <v>6.6417544569775515</v>
      </c>
      <c r="H4">
        <f>50 * (POWER(E2,2) - 2 * E2 * 15 + 15*15) / POWER(M2,2)</f>
        <v>32.357772748353824</v>
      </c>
      <c r="I4">
        <f t="shared" si="0"/>
        <v>517.57874124566536</v>
      </c>
    </row>
    <row r="5" spans="1:13" x14ac:dyDescent="0.3">
      <c r="A5" s="1">
        <v>102.49671984420274</v>
      </c>
      <c r="B5" s="3">
        <v>92.460516295977868</v>
      </c>
      <c r="C5" s="4">
        <v>40.799553845354239</v>
      </c>
      <c r="I5">
        <f t="shared" si="0"/>
        <v>13.394314749222602</v>
      </c>
    </row>
    <row r="6" spans="1:13" x14ac:dyDescent="0.3">
      <c r="A6" s="1">
        <v>112.05101398227271</v>
      </c>
      <c r="B6" s="3">
        <v>122.79375621583313</v>
      </c>
      <c r="C6" s="4">
        <v>34.86079786947812</v>
      </c>
      <c r="I6">
        <f t="shared" si="0"/>
        <v>33.275452434876144</v>
      </c>
    </row>
    <row r="7" spans="1:13" x14ac:dyDescent="0.3">
      <c r="A7" s="1">
        <v>96.723452113656094</v>
      </c>
      <c r="B7" s="3">
        <v>103.70322368326015</v>
      </c>
      <c r="C7" s="4">
        <v>38.660928213212173</v>
      </c>
      <c r="I7">
        <f t="shared" si="0"/>
        <v>54.21529429325696</v>
      </c>
    </row>
    <row r="8" spans="1:13" x14ac:dyDescent="0.3">
      <c r="A8" s="1">
        <v>96.513438418332953</v>
      </c>
      <c r="B8" s="3">
        <v>105.81188714932068</v>
      </c>
      <c r="C8" s="4">
        <v>47.391122380795423</v>
      </c>
      <c r="I8">
        <f t="shared" si="0"/>
        <v>8.5189339867908096</v>
      </c>
    </row>
    <row r="9" spans="1:13" x14ac:dyDescent="0.3">
      <c r="A9" s="1">
        <v>100.53574581215798</v>
      </c>
      <c r="B9" s="3">
        <v>92.680295690661296</v>
      </c>
      <c r="C9" s="4">
        <v>35.30022023463971</v>
      </c>
      <c r="I9">
        <f t="shared" si="0"/>
        <v>10.234149750038378</v>
      </c>
    </row>
    <row r="10" spans="1:13" x14ac:dyDescent="0.3">
      <c r="A10" s="1">
        <v>100.71047338678909</v>
      </c>
      <c r="B10" s="3">
        <v>97.124677975079976</v>
      </c>
      <c r="C10" s="4">
        <v>39.627681290803594</v>
      </c>
      <c r="I10">
        <f t="shared" si="0"/>
        <v>252.92127833632711</v>
      </c>
    </row>
    <row r="11" spans="1:13" x14ac:dyDescent="0.3">
      <c r="A11" s="1">
        <v>95.586823615667527</v>
      </c>
      <c r="B11" s="3">
        <v>103.24248503602576</v>
      </c>
      <c r="C11" s="4">
        <v>36.806093349732691</v>
      </c>
      <c r="I11">
        <f t="shared" si="0"/>
        <v>199.66352353066088</v>
      </c>
    </row>
    <row r="12" spans="1:13" x14ac:dyDescent="0.3">
      <c r="A12" s="1">
        <v>82.996450853534043</v>
      </c>
      <c r="B12" s="3">
        <v>115.94689820194617</v>
      </c>
      <c r="C12" s="4">
        <v>32.247808222600725</v>
      </c>
      <c r="I12">
        <f t="shared" si="0"/>
        <v>2.7801660794376901</v>
      </c>
    </row>
    <row r="13" spans="1:13" x14ac:dyDescent="0.3">
      <c r="A13" s="1">
        <v>82.892295520287007</v>
      </c>
      <c r="B13" s="3">
        <v>114.17363364453195</v>
      </c>
      <c r="C13" s="4">
        <v>53.646422303281724</v>
      </c>
      <c r="I13">
        <f t="shared" si="0"/>
        <v>29.114271511671443</v>
      </c>
    </row>
    <row r="14" spans="1:13" x14ac:dyDescent="0.3">
      <c r="A14" s="1">
        <v>108.83107986737741</v>
      </c>
      <c r="B14" s="3">
        <v>101.71078227140242</v>
      </c>
      <c r="C14" s="4">
        <v>34.474455888848752</v>
      </c>
      <c r="I14">
        <f t="shared" si="0"/>
        <v>5.2090598151734984</v>
      </c>
    </row>
    <row r="15" spans="1:13" x14ac:dyDescent="0.3">
      <c r="A15" s="1">
        <v>96.944710574098281</v>
      </c>
      <c r="B15" s="3">
        <v>94.647635048750089</v>
      </c>
      <c r="C15" s="4">
        <v>40.516706677444745</v>
      </c>
      <c r="I15">
        <f t="shared" si="0"/>
        <v>51.390755124457094</v>
      </c>
    </row>
    <row r="16" spans="1:13" x14ac:dyDescent="0.3">
      <c r="A16" s="1">
        <v>109.77318904915592</v>
      </c>
      <c r="B16" s="3">
        <v>97.761062786594266</v>
      </c>
      <c r="C16" s="4">
        <v>38.509241549982107</v>
      </c>
      <c r="I16">
        <f t="shared" si="0"/>
        <v>24.535357073096066</v>
      </c>
    </row>
    <row r="17" spans="1:9" x14ac:dyDescent="0.3">
      <c r="A17" s="1">
        <v>97.945940322097158</v>
      </c>
      <c r="B17" s="3">
        <v>107.21213382348651</v>
      </c>
      <c r="C17" s="4">
        <v>41.40420297611854</v>
      </c>
      <c r="I17">
        <f t="shared" si="0"/>
        <v>49.395344384041302</v>
      </c>
    </row>
    <row r="18" spans="1:9" x14ac:dyDescent="0.3">
      <c r="A18" s="1">
        <v>90.654000612266827</v>
      </c>
      <c r="B18" s="3">
        <v>95.090081483795075</v>
      </c>
      <c r="C18" s="4">
        <v>38.182346416797373</v>
      </c>
      <c r="I18">
        <f t="shared" si="0"/>
        <v>249.54040506247901</v>
      </c>
    </row>
    <row r="19" spans="1:9" x14ac:dyDescent="0.3">
      <c r="A19" s="1">
        <v>105.74190494262439</v>
      </c>
      <c r="B19" s="3">
        <v>93.015217114589177</v>
      </c>
      <c r="C19" s="4">
        <v>36.721203388005961</v>
      </c>
      <c r="I19">
        <f t="shared" si="0"/>
        <v>22.560666310955476</v>
      </c>
    </row>
    <row r="20" spans="1:9" x14ac:dyDescent="0.3">
      <c r="A20" s="1">
        <v>96.644977500181994</v>
      </c>
      <c r="B20" s="3">
        <v>84.246551321120933</v>
      </c>
      <c r="C20" s="4">
        <v>37.960242126282537</v>
      </c>
      <c r="I20">
        <f t="shared" si="0"/>
        <v>20.212083719092995</v>
      </c>
    </row>
    <row r="21" spans="1:9" x14ac:dyDescent="0.3">
      <c r="A21" s="1">
        <v>89.426737556641456</v>
      </c>
      <c r="B21" s="3">
        <v>95.29359229200054</v>
      </c>
      <c r="C21" s="4">
        <v>41.855300979514141</v>
      </c>
      <c r="I21">
        <f t="shared" si="0"/>
        <v>21.584479165265929</v>
      </c>
    </row>
    <row r="22" spans="1:9" x14ac:dyDescent="0.3">
      <c r="A22" s="1">
        <v>104.61956915387418</v>
      </c>
      <c r="B22" s="3">
        <v>95.547614162205718</v>
      </c>
      <c r="C22" s="4">
        <v>45.436265837488463</v>
      </c>
      <c r="I22">
        <f t="shared" si="0"/>
        <v>28.950976112940587</v>
      </c>
    </row>
    <row r="23" spans="1:9" x14ac:dyDescent="0.3">
      <c r="A23" s="1">
        <v>105.79680772716529</v>
      </c>
      <c r="B23" s="3">
        <v>104.68930920760613</v>
      </c>
      <c r="C23" s="4">
        <v>46.852405931567773</v>
      </c>
      <c r="I23">
        <f t="shared" si="0"/>
        <v>63.60008490441011</v>
      </c>
    </row>
    <row r="24" spans="1:9" x14ac:dyDescent="0.3">
      <c r="A24" s="1">
        <v>95.118164406449068</v>
      </c>
      <c r="B24" s="3">
        <v>105.42401039638207</v>
      </c>
      <c r="C24" s="4">
        <v>46.397954166459385</v>
      </c>
      <c r="I24">
        <f t="shared" si="0"/>
        <v>229.5357510084286</v>
      </c>
    </row>
    <row r="25" spans="1:9" x14ac:dyDescent="0.3">
      <c r="A25" s="1">
        <v>117.49351213220507</v>
      </c>
      <c r="B25" s="3">
        <v>92.068433130043559</v>
      </c>
      <c r="C25" s="4">
        <v>36.551895264929044</v>
      </c>
      <c r="I25">
        <f t="shared" si="0"/>
        <v>0.81290275902724041</v>
      </c>
    </row>
    <row r="26" spans="1:9" x14ac:dyDescent="0.3">
      <c r="A26" s="1">
        <v>96.409386540108244</v>
      </c>
      <c r="B26" s="3">
        <v>115.19383658887818</v>
      </c>
      <c r="C26" s="4">
        <v>41.339469690719852</v>
      </c>
      <c r="I26">
        <f t="shared" si="0"/>
        <v>3.7274827352810309</v>
      </c>
    </row>
    <row r="27" spans="1:9" x14ac:dyDescent="0.3">
      <c r="A27" s="1">
        <v>103.22346750181168</v>
      </c>
      <c r="B27" s="3">
        <v>100.94501046987716</v>
      </c>
      <c r="C27" s="4">
        <v>47.69794041843852</v>
      </c>
      <c r="I27">
        <f t="shared" si="0"/>
        <v>74.462107874695349</v>
      </c>
    </row>
    <row r="28" spans="1:9" x14ac:dyDescent="0.3">
      <c r="A28" s="1">
        <v>93.146216183959041</v>
      </c>
      <c r="B28" s="3">
        <v>98.112730281718541</v>
      </c>
      <c r="C28" s="4">
        <v>38.53321241971571</v>
      </c>
      <c r="I28">
        <f t="shared" si="0"/>
        <v>1.3121784395637486</v>
      </c>
    </row>
    <row r="29" spans="1:9" x14ac:dyDescent="0.3">
      <c r="A29" s="1">
        <v>106.61477088215179</v>
      </c>
      <c r="B29" s="3">
        <v>91.414256328425836</v>
      </c>
      <c r="C29" s="4">
        <v>34.978099948639283</v>
      </c>
      <c r="I29">
        <f t="shared" si="0"/>
        <v>135.99351278067411</v>
      </c>
    </row>
    <row r="30" spans="1:9" x14ac:dyDescent="0.3">
      <c r="A30" s="1">
        <v>92.392124568141298</v>
      </c>
      <c r="B30" s="3">
        <v>101.18890284284134</v>
      </c>
      <c r="C30" s="4">
        <v>42.157975131922285</v>
      </c>
      <c r="I30">
        <f t="shared" si="0"/>
        <v>111.55970927979754</v>
      </c>
    </row>
    <row r="31" spans="1:9" x14ac:dyDescent="0.3">
      <c r="A31" s="1">
        <v>105.50163463231002</v>
      </c>
      <c r="B31" s="3">
        <v>88.38177361903945</v>
      </c>
      <c r="C31" s="4">
        <v>42.026877155003604</v>
      </c>
      <c r="I31">
        <f t="shared" si="0"/>
        <v>7.5412481274793413</v>
      </c>
    </row>
    <row r="32" spans="1:9" x14ac:dyDescent="0.3">
      <c r="A32" s="1">
        <v>92.907871728675673</v>
      </c>
      <c r="B32" s="3">
        <v>89.481216289277654</v>
      </c>
      <c r="C32" s="4">
        <v>41.53079326992156</v>
      </c>
      <c r="I32">
        <f t="shared" si="0"/>
        <v>4.1169181633382103E-2</v>
      </c>
    </row>
    <row r="33" spans="1:9" x14ac:dyDescent="0.3">
      <c r="A33" s="1">
        <v>99.825145096110646</v>
      </c>
      <c r="B33" s="3">
        <v>97.297265963425161</v>
      </c>
      <c r="C33" s="4">
        <v>48.763504411035683</v>
      </c>
      <c r="I33">
        <f t="shared" si="0"/>
        <v>59.09816471104795</v>
      </c>
    </row>
    <row r="34" spans="1:9" x14ac:dyDescent="0.3">
      <c r="A34" s="1">
        <v>100.38494022192026</v>
      </c>
      <c r="B34" s="3">
        <v>99.840497366676573</v>
      </c>
      <c r="C34" s="4">
        <v>42.098090590152424</v>
      </c>
      <c r="I34">
        <f t="shared" si="0"/>
        <v>20.609206921390086</v>
      </c>
    </row>
    <row r="35" spans="1:9" x14ac:dyDescent="0.3">
      <c r="A35" s="1">
        <v>103.13678015118057</v>
      </c>
      <c r="B35" s="3">
        <v>107.73093233874533</v>
      </c>
      <c r="C35" s="4">
        <v>42.137005594704533</v>
      </c>
      <c r="I35">
        <f t="shared" si="0"/>
        <v>0.75981921125384866</v>
      </c>
    </row>
    <row r="36" spans="1:9" x14ac:dyDescent="0.3">
      <c r="A36" s="1">
        <v>109.86919530987507</v>
      </c>
      <c r="B36" s="3">
        <v>95.503662830742542</v>
      </c>
      <c r="C36" s="4">
        <v>53.222961570136249</v>
      </c>
      <c r="I36">
        <f t="shared" si="0"/>
        <v>62.818431652433723</v>
      </c>
    </row>
    <row r="37" spans="1:9" x14ac:dyDescent="0.3">
      <c r="A37" s="1">
        <v>95.325026702630566</v>
      </c>
      <c r="B37" s="3">
        <v>99.171723175095394</v>
      </c>
      <c r="C37" s="4">
        <v>39.741896772320615</v>
      </c>
      <c r="I37">
        <f t="shared" si="0"/>
        <v>2.5030566803624104</v>
      </c>
    </row>
    <row r="38" spans="1:9" x14ac:dyDescent="0.3">
      <c r="A38" s="1">
        <v>80.030188453383744</v>
      </c>
      <c r="B38" s="3">
        <v>92.117591318674386</v>
      </c>
      <c r="C38" s="4">
        <v>41.649488012844813</v>
      </c>
      <c r="I38">
        <f t="shared" si="0"/>
        <v>213.58412373600646</v>
      </c>
    </row>
    <row r="39" spans="1:9" x14ac:dyDescent="0.3">
      <c r="A39" s="1">
        <v>91.57078718781122</v>
      </c>
      <c r="B39" s="3">
        <v>98.461294126173016</v>
      </c>
      <c r="C39" s="4">
        <v>44.275750598026207</v>
      </c>
      <c r="I39">
        <f t="shared" si="0"/>
        <v>59.082434274104301</v>
      </c>
    </row>
    <row r="40" spans="1:9" x14ac:dyDescent="0.3">
      <c r="A40" s="1">
        <v>98.32548496669915</v>
      </c>
      <c r="B40" s="3">
        <v>114.65791683585849</v>
      </c>
      <c r="C40" s="4">
        <v>41.69033569363819</v>
      </c>
      <c r="I40">
        <f t="shared" si="0"/>
        <v>13.93913320274749</v>
      </c>
    </row>
    <row r="41" spans="1:9" x14ac:dyDescent="0.3">
      <c r="A41" s="1">
        <v>82.613699103239924</v>
      </c>
      <c r="B41" s="3">
        <v>107.72990915720584</v>
      </c>
      <c r="C41" s="4">
        <v>46.956599918339634</v>
      </c>
      <c r="I41">
        <f t="shared" si="0"/>
        <v>1.273192307150534</v>
      </c>
    </row>
    <row r="42" spans="1:9" x14ac:dyDescent="0.3">
      <c r="A42" s="1">
        <v>94.321576650690986</v>
      </c>
      <c r="B42" s="3">
        <v>96.309884409129154</v>
      </c>
      <c r="C42" s="4">
        <v>43.601104481276707</v>
      </c>
      <c r="I42">
        <f t="shared" si="0"/>
        <v>3.5066291448522066E-2</v>
      </c>
    </row>
    <row r="43" spans="1:9" x14ac:dyDescent="0.3">
      <c r="A43" s="1">
        <v>105.86270061830874</v>
      </c>
      <c r="B43" s="3">
        <v>98.91504103288753</v>
      </c>
      <c r="C43" s="4">
        <v>40.812724465504289</v>
      </c>
      <c r="I43">
        <f t="shared" si="0"/>
        <v>38.054662015729932</v>
      </c>
    </row>
    <row r="44" spans="1:9" x14ac:dyDescent="0.3">
      <c r="A44" s="1">
        <v>96.356759766058531</v>
      </c>
      <c r="B44" s="3">
        <v>100.23065922505339</v>
      </c>
      <c r="C44" s="4">
        <v>37.369172888284083</v>
      </c>
      <c r="I44">
        <f t="shared" si="0"/>
        <v>62.820435625949457</v>
      </c>
    </row>
    <row r="45" spans="1:9" x14ac:dyDescent="0.3">
      <c r="A45" s="1">
        <v>108.44138867250877</v>
      </c>
      <c r="B45" s="3">
        <v>93.874553183559328</v>
      </c>
      <c r="C45" s="4">
        <v>43.01304226013599</v>
      </c>
      <c r="I45">
        <f t="shared" si="0"/>
        <v>19.881542669330834</v>
      </c>
    </row>
    <row r="46" spans="1:9" x14ac:dyDescent="0.3">
      <c r="A46" s="1">
        <v>102.14367560147366</v>
      </c>
      <c r="B46" s="3">
        <v>107.96933363744756</v>
      </c>
      <c r="C46" s="4">
        <v>47.540393198723905</v>
      </c>
      <c r="I46">
        <f t="shared" si="0"/>
        <v>23.71665969428129</v>
      </c>
    </row>
    <row r="47" spans="1:9" x14ac:dyDescent="0.3">
      <c r="A47" s="1">
        <v>92.959567407524446</v>
      </c>
      <c r="B47" s="3">
        <v>104.50227162218653</v>
      </c>
      <c r="C47" s="4">
        <v>35.623591075855074</v>
      </c>
      <c r="I47">
        <f t="shared" si="0"/>
        <v>100.86135068758232</v>
      </c>
    </row>
    <row r="48" spans="1:9" x14ac:dyDescent="0.3">
      <c r="A48" s="1">
        <v>94.439833699289011</v>
      </c>
      <c r="B48" s="3">
        <v>104.91337459607166</v>
      </c>
      <c r="C48" s="4">
        <v>36.493932030716678</v>
      </c>
      <c r="I48">
        <f t="shared" si="0"/>
        <v>172.70466235023363</v>
      </c>
    </row>
    <row r="49" spans="1:9" x14ac:dyDescent="0.3">
      <c r="A49" s="1">
        <v>108.38296045913012</v>
      </c>
      <c r="B49" s="3">
        <v>90.000424077152275</v>
      </c>
      <c r="C49" s="4">
        <v>43.408911197766429</v>
      </c>
      <c r="I49">
        <f t="shared" si="0"/>
        <v>211.91491393937622</v>
      </c>
    </row>
    <row r="50" spans="1:9" x14ac:dyDescent="0.3">
      <c r="A50" s="1">
        <v>96.895744516223203</v>
      </c>
      <c r="B50" s="3">
        <v>86.901684678741731</v>
      </c>
      <c r="C50" s="4">
        <v>38.165174019959522</v>
      </c>
      <c r="I50">
        <f t="shared" si="0"/>
        <v>62.687507435966531</v>
      </c>
    </row>
    <row r="51" spans="1:9" x14ac:dyDescent="0.3">
      <c r="A51" s="1">
        <v>94.020124631788349</v>
      </c>
      <c r="B51" s="3">
        <v>85.486101650167257</v>
      </c>
      <c r="C51" s="4">
        <v>36.689359704760136</v>
      </c>
      <c r="I51">
        <f t="shared" si="0"/>
        <v>10008.681737132318</v>
      </c>
    </row>
    <row r="52" spans="1:9" x14ac:dyDescent="0.3">
      <c r="A52" s="1">
        <v>105.31114210389205</v>
      </c>
      <c r="B52" s="3">
        <v>107.96094354882371</v>
      </c>
      <c r="C52" s="4">
        <v>40.864321236804244</v>
      </c>
      <c r="I52">
        <f t="shared" si="0"/>
        <v>10008.681737132318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2025-03-18T10:49:09Z</dcterms:created>
  <dcterms:modified xsi:type="dcterms:W3CDTF">2025-11-18T20:15:21Z</dcterms:modified>
</cp:coreProperties>
</file>